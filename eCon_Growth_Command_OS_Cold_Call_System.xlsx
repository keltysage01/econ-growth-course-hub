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⚡ COMMAND TRACKER" sheetId="1" state="visible" r:id="rId3"/>
    <sheet name="🔥 HOT LEADS" sheetId="2" state="visible" r:id="rId4"/>
    <sheet name="📅 FOLLOW-UP ENGINE" sheetId="3" state="visible" r:id="rId5"/>
    <sheet name="📊 PIPELINE DASHBOARD" sheetId="4" state="visible" r:id="rId6"/>
    <sheet name="📋 BOOKED MEETINGS" sheetId="5" state="visible" r:id="rId7"/>
    <sheet name="📖 HOW TO US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<sst xmlns="http://schemas.openxmlformats.org/spreadsheetml/2006/main" count="144" uniqueCount="113">
  <si>
    <t xml:space="preserve">⚡  eCON GROWTH  ·  COMMAND OS COLD CALL INTELLIGENCE  ·  POWERED BY SECONDBRAIN AI</t>
  </si>
  <si>
    <t xml:space="preserve">🏢  COMPANY INTEL</t>
  </si>
  <si>
    <t xml:space="preserve">📞  CALL INTELLIGENCE</t>
  </si>
  <si>
    <t xml:space="preserve">🔥  PAIN MATRIX</t>
  </si>
  <si>
    <t xml:space="preserve">🎯  CONVERSION</t>
  </si>
  <si>
    <t xml:space="preserve">🤖  AI FIT ENGINE</t>
  </si>
  <si>
    <t xml:space="preserve">📅  FOLLOW-UP SYSTEM</t>
  </si>
  <si>
    <t xml:space="preserve">Company Name</t>
  </si>
  <si>
    <t xml:space="preserve">Phone</t>
  </si>
  <si>
    <t xml:space="preserve">City</t>
  </si>
  <si>
    <t xml:space="preserve">Website</t>
  </si>
  <si>
    <t xml:space="preserve">Owner / DM</t>
  </si>
  <si>
    <t xml:space="preserve">Contact Name</t>
  </si>
  <si>
    <t xml:space="preserve">Role</t>
  </si>
  <si>
    <t xml:space="preserve"># Trucks</t>
  </si>
  <si>
    <t xml:space="preserve">Answer Status</t>
  </si>
  <si>
    <t xml:space="preserve">Person Reached</t>
  </si>
  <si>
    <t xml:space="preserve">DM Reached?</t>
  </si>
  <si>
    <t xml:space="preserve">Opening Reaction</t>
  </si>
  <si>
    <t xml:space="preserve">Main Pain</t>
  </si>
  <si>
    <t xml:space="preserve">Call Notes</t>
  </si>
  <si>
    <t xml:space="preserve">Recruiting Pain</t>
  </si>
  <si>
    <t xml:space="preserve">Retention Pain</t>
  </si>
  <si>
    <t xml:space="preserve">Ops/System Pain</t>
  </si>
  <si>
    <t xml:space="preserve">Revenue Pain</t>
  </si>
  <si>
    <t xml:space="preserve">Pain Detail</t>
  </si>
  <si>
    <t xml:space="preserve">Pain Score</t>
  </si>
  <si>
    <t xml:space="preserve">Open to Meeting?</t>
  </si>
  <si>
    <t xml:space="preserve">Meeting Type</t>
  </si>
  <si>
    <t xml:space="preserve">Objection</t>
  </si>
  <si>
    <t xml:space="preserve">Follow-Up Action</t>
  </si>
  <si>
    <t xml:space="preserve">Fit Score</t>
  </si>
  <si>
    <t xml:space="preserve">Fit Tier</t>
  </si>
  <si>
    <t xml:space="preserve">Priority</t>
  </si>
  <si>
    <t xml:space="preserve">Last Call</t>
  </si>
  <si>
    <t xml:space="preserve">Callback Date</t>
  </si>
  <si>
    <t xml:space="preserve">Days Until Call</t>
  </si>
  <si>
    <t xml:space="preserve">Caller</t>
  </si>
  <si>
    <t xml:space="preserve">🔥  HOT LEADS  ·  FIT SCORE ≥ 60  ·  AUTO-PULLED FROM COMMAND TRACKER</t>
  </si>
  <si>
    <t xml:space="preserve">  These leads are auto-ranked. Work them top-down. Update the Callback Date and they'll appear in your Follow-Up Engine.</t>
  </si>
  <si>
    <t xml:space="preserve">Company</t>
  </si>
  <si>
    <t xml:space="preserve">Owner/DM</t>
  </si>
  <si>
    <t xml:space="preserve">Days Until</t>
  </si>
  <si>
    <t xml:space="preserve">📅  FOLLOW-UP ENGINE  ·  WHO TO CALL TODAY  ·  SORTED BY URGENCY</t>
  </si>
  <si>
    <t xml:space="preserve">  Leads with Callback Date = today or overdue. Red = overdue. Green = due today/tomorrow. Update tracker to clear.</t>
  </si>
  <si>
    <t xml:space="preserve">🚨 Urgency</t>
  </si>
  <si>
    <t xml:space="preserve">Days Overdue</t>
  </si>
  <si>
    <t xml:space="preserve">📊  COMMAND OS  ·  LIVE PIPELINE DASHBOARD  ·  AUTO-UPDATES AS YOU WORK</t>
  </si>
  <si>
    <t xml:space="preserve">  CALL ACTIVITY</t>
  </si>
  <si>
    <t xml:space="preserve">  PIPELINE FUNNEL</t>
  </si>
  <si>
    <t xml:space="preserve">TOTAL LEADS ENTERED</t>
  </si>
  <si>
    <t xml:space="preserve">CALLS MADE</t>
  </si>
  <si>
    <t xml:space="preserve">🔥 HOT (Score ≥80)</t>
  </si>
  <si>
    <t xml:space="preserve">✅ STRONG (60-79)</t>
  </si>
  <si>
    <t xml:space="preserve">⚡ WARM (40-59)</t>
  </si>
  <si>
    <t xml:space="preserve">ANSWERED</t>
  </si>
  <si>
    <t xml:space="preserve">DM REACHED</t>
  </si>
  <si>
    <t xml:space="preserve">📋 NURTURE (20-39)</t>
  </si>
  <si>
    <t xml:space="preserve">❌ COLD (&lt;20)</t>
  </si>
  <si>
    <t xml:space="preserve">🚫 NOT INTERESTED</t>
  </si>
  <si>
    <t xml:space="preserve">BOOKED MEETINGS</t>
  </si>
  <si>
    <t xml:space="preserve">OPEN CALLBACKS</t>
  </si>
  <si>
    <t xml:space="preserve">  CONVERSION RATES</t>
  </si>
  <si>
    <t xml:space="preserve">  🏆 CALLER LEADERBOARD</t>
  </si>
  <si>
    <t xml:space="preserve">Answer Rate</t>
  </si>
  <si>
    <t xml:space="preserve">🥇  Kristopher</t>
  </si>
  <si>
    <t xml:space="preserve">DM Reach Rate</t>
  </si>
  <si>
    <t xml:space="preserve">🥈  Watson</t>
  </si>
  <si>
    <t xml:space="preserve">Meeting Rate</t>
  </si>
  <si>
    <t xml:space="preserve">🥉  —</t>
  </si>
  <si>
    <t xml:space="preserve">—</t>
  </si>
  <si>
    <t xml:space="preserve">Hot Lead Rate</t>
  </si>
  <si>
    <t xml:space="preserve">4️⃣  —</t>
  </si>
  <si>
    <t xml:space="preserve">Avg Fit Score</t>
  </si>
  <si>
    <t xml:space="preserve">5️⃣  —</t>
  </si>
  <si>
    <t xml:space="preserve">Avg Pain Score</t>
  </si>
  <si>
    <t xml:space="preserve">📋  BOOKED MEETINGS  ·  AUTO-PULLED FROM TRACKER  ·  SHOW TIME</t>
  </si>
  <si>
    <t xml:space="preserve">⚡  ECON GROWTH  ·  COMMAND OS COLD CALL SYSTEM</t>
  </si>
  <si>
    <t xml:space="preserve">HOW THIS SYSTEM WORKS</t>
  </si>
  <si>
    <t xml:space="preserve">📞  SHEET 1: ⚡ COMMAND TRACKER</t>
  </si>
  <si>
    <t xml:space="preserve">   Your main data entry sheet. Enter one company per row.</t>
  </si>
  <si>
    <t xml:space="preserve">   Fill left to right during or after each call.</t>
  </si>
  <si>
    <t xml:space="preserve">   AI Fit Score auto-calculates from: truck count, DM reached, open to meeting, and pain severity.</t>
  </si>
  <si>
    <t xml:space="preserve">   The Pain Score auto-weights Recruiting, Retention, Ops, and Revenue pain (Severe=4, Moderate=3, Minor=2).</t>
  </si>
  <si>
    <t xml:space="preserve">   Set a Callback Date and it populates the Follow-Up Engine automatically.</t>
  </si>
  <si>
    <t xml:space="preserve">🔥  SHEET 2: HOT LEADS</t>
  </si>
  <si>
    <t xml:space="preserve">   Auto-sorted by Fit Score. Top 50 leads always at the top.</t>
  </si>
  <si>
    <t xml:space="preserve">   Work this list when prospecting. The system tells you who's worth your time.</t>
  </si>
  <si>
    <t xml:space="preserve">📅  SHEET 3: FOLLOW-UP ENGINE</t>
  </si>
  <si>
    <t xml:space="preserve">   Every lead with a Callback Date appears here, sorted by urgency.</t>
  </si>
  <si>
    <t xml:space="preserve">   🚨 OVERDUE = past due. Call these first.</t>
  </si>
  <si>
    <t xml:space="preserve">   🔔 DUE NOW = today or tomorrow. Call these next.</t>
  </si>
  <si>
    <t xml:space="preserve">   📋 UPCOMING = coming soon. Prepare.</t>
  </si>
  <si>
    <t xml:space="preserve">📊  SHEET 4: PIPELINE DASHBOARD</t>
  </si>
  <si>
    <t xml:space="preserve">   Live dashboard. Auto-updates every time you enter data.</t>
  </si>
  <si>
    <t xml:space="preserve">   Shows: calls made, answer rate, DM rate, meeting rate, funnel breakdown, conversion rates.</t>
  </si>
  <si>
    <t xml:space="preserve">   Caller Leaderboard tracks who booked the most meetings.</t>
  </si>
  <si>
    <t xml:space="preserve">📋  SHEET 5: BOOKED MEETINGS</t>
  </si>
  <si>
    <t xml:space="preserve">   Every lead marked Booked Meeting auto-appears here.</t>
  </si>
  <si>
    <t xml:space="preserve">   Pre-call prep view: pain point, fit score, meeting type all in one place.</t>
  </si>
  <si>
    <t xml:space="preserve">⚡  FIT SCORE BREAKDOWN</t>
  </si>
  <si>
    <t xml:space="preserve">   Truck Count:    2-4 trucks = 10 pts | 5-9 = 20 pts | 10+ = 30 pts</t>
  </si>
  <si>
    <t xml:space="preserve">   DM Reached:     Yes = 20 pts | Unsure = 10 pts</t>
  </si>
  <si>
    <t xml:space="preserve">   Open to Meet:   Yes = 30 pts | Later = 15 pts</t>
  </si>
  <si>
    <t xml:space="preserve">   Pain Score:     Contributes up to 20 pts based on severity</t>
  </si>
  <si>
    <t xml:space="preserve">   ─────────────────────────────────────────────</t>
  </si>
  <si>
    <t xml:space="preserve">   🔥 HOT = 80+  |  ✅ STRONG = 60-79  |  ⚡ WARM = 40-59  |  📋 NURTURE = 20-39</t>
  </si>
  <si>
    <t xml:space="preserve">💡  PRO TIPS FROM KRISTOPHER</t>
  </si>
  <si>
    <t xml:space="preserve">   1. Enter company intel BEFORE the call. Look them up. Show up prepared.</t>
  </si>
  <si>
    <t xml:space="preserve">   2. During the call, focus on PAIN. Every pain field you fill in raises the score.</t>
  </si>
  <si>
    <t xml:space="preserve">   3. Always set a Callback Date — even for not interested. They change their mind.</t>
  </si>
  <si>
    <t xml:space="preserve">   4. Work the Follow-Up Engine every morning. Overdue = money left on the table.</t>
  </si>
  <si>
    <t xml:space="preserve">   5. The Hot Leads sheet doesn't lie. If the score is high, close the loop.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</si>
</sst>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\%"/>
    <numFmt numFmtId="166" formatCode="0"/>
    <numFmt numFmtId="167" formatCode="mm/dd/yyyy"/>
    <numFmt numFmtId="168" formatCode="0&quot; days&quot;"/>
    <numFmt numFmtId="169" formatCode="@"/>
    <numFmt numFmtId="170" formatCode="General"/>
    <numFmt numFmtId="171" formatCode="0.0%"/>
    <numFmt numFmtId="172" formatCode="0.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E68A"/>
      <name val="Calibri"/>
      <family val="0"/>
      <charset val="1"/>
    </font>
    <font>
      <b val="true"/>
      <sz val="9"/>
      <color rgb="FF21E68A"/>
      <name val="Calibri"/>
      <family val="0"/>
      <charset val="1"/>
    </font>
    <font>
      <b val="true"/>
      <sz val="8"/>
      <color rgb="FFEAF0FF"/>
      <name val="Calibri"/>
      <family val="0"/>
      <charset val="1"/>
    </font>
    <font>
      <sz val="9"/>
      <color rgb="FFEAF0FF"/>
      <name val="Calibri"/>
      <family val="0"/>
      <charset val="1"/>
    </font>
    <font>
      <b val="true"/>
      <sz val="9"/>
      <color rgb="FFEAF0FF"/>
      <name val="Calibri"/>
      <family val="0"/>
      <charset val="1"/>
    </font>
    <font>
      <b val="true"/>
      <sz val="13"/>
      <color rgb="FFEF4444"/>
      <name val="Calibri"/>
      <family val="0"/>
      <charset val="1"/>
    </font>
    <font>
      <i val="true"/>
      <sz val="9"/>
      <color rgb="FF4A5568"/>
      <name val="Calibri"/>
      <family val="0"/>
      <charset val="1"/>
    </font>
    <font>
      <b val="true"/>
      <sz val="13"/>
      <color rgb="FFF59E0B"/>
      <name val="Calibri"/>
      <family val="0"/>
      <charset val="1"/>
    </font>
    <font>
      <b val="true"/>
      <sz val="14"/>
      <color rgb="FF8B5CF6"/>
      <name val="Calibri"/>
      <family val="0"/>
      <charset val="1"/>
    </font>
    <font>
      <b val="true"/>
      <sz val="9"/>
      <color rgb="FF4A5568"/>
      <name val="Calibri"/>
      <family val="0"/>
      <charset val="1"/>
    </font>
    <font>
      <b val="true"/>
      <sz val="8"/>
      <color rgb="FF21E68A"/>
      <name val="Calibri"/>
      <family val="0"/>
      <charset val="1"/>
    </font>
    <font>
      <b val="true"/>
      <sz val="26"/>
      <color rgb="FFEAF0FF"/>
      <name val="Calibri"/>
      <family val="0"/>
      <charset val="1"/>
    </font>
    <font>
      <b val="true"/>
      <sz val="9"/>
      <color rgb="FF34D399"/>
      <name val="Calibri"/>
      <family val="0"/>
      <charset val="1"/>
    </font>
    <font>
      <b val="true"/>
      <sz val="14"/>
      <color rgb="FF34D399"/>
      <name val="Calibri"/>
      <family val="0"/>
      <charset val="1"/>
    </font>
    <font>
      <b val="true"/>
      <sz val="9"/>
      <color rgb="FFF59E0B"/>
      <name val="Calibri"/>
      <family val="0"/>
      <charset val="1"/>
    </font>
    <font>
      <b val="true"/>
      <sz val="14"/>
      <color rgb="FFF59E0B"/>
      <name val="Calibri"/>
      <family val="0"/>
      <charset val="1"/>
    </font>
    <font>
      <b val="true"/>
      <sz val="9"/>
      <color rgb="FFF97316"/>
      <name val="Calibri"/>
      <family val="0"/>
      <charset val="1"/>
    </font>
    <font>
      <b val="true"/>
      <sz val="14"/>
      <color rgb="FFF97316"/>
      <name val="Calibri"/>
      <family val="0"/>
      <charset val="1"/>
    </font>
    <font>
      <b val="true"/>
      <sz val="9"/>
      <color rgb="FFEF4444"/>
      <name val="Calibri"/>
      <family val="0"/>
      <charset val="1"/>
    </font>
    <font>
      <b val="true"/>
      <sz val="14"/>
      <color rgb="FFEF4444"/>
      <name val="Calibri"/>
      <family val="0"/>
      <charset val="1"/>
    </font>
    <font>
      <b val="true"/>
      <sz val="14"/>
      <color rgb="FF4A5568"/>
      <name val="Calibri"/>
      <family val="0"/>
      <charset val="1"/>
    </font>
    <font>
      <b val="true"/>
      <sz val="11"/>
      <color rgb="FF21E68A"/>
      <name val="Calibri"/>
      <family val="0"/>
      <charset val="1"/>
    </font>
    <font>
      <b val="true"/>
      <sz val="13"/>
      <color rgb="FF3B82F6"/>
      <name val="Calibri"/>
      <family val="0"/>
      <charset val="1"/>
    </font>
    <font>
      <b val="true"/>
      <sz val="16"/>
      <color rgb="FF21E68A"/>
      <name val="Calibri"/>
      <family val="0"/>
      <charset val="1"/>
    </font>
    <font>
      <sz val="9"/>
      <color rgb="FF4A5568"/>
      <name val="Calibri"/>
      <family val="0"/>
      <charset val="1"/>
    </font>
    <font>
      <b val="true"/>
      <sz val="11"/>
      <color rgb="FFEAF0FF"/>
      <name val="Calibri"/>
      <family val="0"/>
      <charset val="1"/>
    </font>
    <font>
      <b val="true"/>
      <sz val="10"/>
      <color rgb="FF21E68A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sz val="9"/>
      <color rgb="FF21E68A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219"/>
        <bgColor rgb="FF0B1020"/>
      </patternFill>
    </fill>
    <fill>
      <patternFill patternType="solid">
        <fgColor rgb="FF0B1628"/>
        <bgColor rgb="FF0B1020"/>
      </patternFill>
    </fill>
    <fill>
      <patternFill patternType="solid">
        <fgColor rgb="FF0B2014"/>
        <bgColor rgb="FF0A1E10"/>
      </patternFill>
    </fill>
    <fill>
      <patternFill patternType="solid">
        <fgColor rgb="FF1A1800"/>
        <bgColor rgb="FF1A0B0B"/>
      </patternFill>
    </fill>
    <fill>
      <patternFill patternType="solid">
        <fgColor rgb="FF1A0B0B"/>
        <bgColor rgb="FF0A0E15"/>
      </patternFill>
    </fill>
    <fill>
      <patternFill patternType="solid">
        <fgColor rgb="FF0A1E10"/>
        <bgColor rgb="FF0B2014"/>
      </patternFill>
    </fill>
    <fill>
      <patternFill patternType="solid">
        <fgColor rgb="FF0B1020"/>
        <bgColor rgb="FF0D1219"/>
      </patternFill>
    </fill>
    <fill>
      <patternFill patternType="solid">
        <fgColor rgb="FF070A0F"/>
        <bgColor rgb="FF0A0E15"/>
      </patternFill>
    </fill>
    <fill>
      <patternFill patternType="solid">
        <fgColor rgb="FF0A0E15"/>
        <bgColor rgb="FF0D121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C2A3A"/>
      </left>
      <right style="thin">
        <color rgb="FF1C2A3A"/>
      </right>
      <top style="thin">
        <color rgb="FF1C2A3A"/>
      </top>
      <bottom style="thin">
        <color rgb="FF1C2A3A"/>
      </bottom>
      <diagonal/>
    </border>
    <border diagonalUp="false" diagonalDown="false">
      <left style="thin">
        <color rgb="FF1C2A3A"/>
      </left>
      <right/>
      <top style="thin">
        <color rgb="FF1C2A3A"/>
      </top>
      <bottom style="thin">
        <color rgb="FF1C2A3A"/>
      </bottom>
      <diagonal/>
    </border>
    <border diagonalUp="false" diagonalDown="false">
      <left style="thin">
        <color rgb="FF1C2A3A"/>
      </left>
      <right style="thin">
        <color rgb="FF1C2A3A"/>
      </right>
      <top/>
      <bottom style="thin">
        <color rgb="FF1C2A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EF4444"/>
      </font>
    </dxf>
    <dxf>
      <font>
        <b val="1"/>
        <color rgb="FF21E68A"/>
      </font>
    </dxf>
    <dxf>
      <fill>
        <patternFill>
          <bgColor rgb="FF1A2E1A"/>
        </patternFill>
      </fill>
    </dxf>
  </dxfs>
  <colors>
    <indexedColors>
      <rgbColor rgb="FF000000"/>
      <rgbColor rgb="FFEAF0FF"/>
      <rgbColor rgb="FFFF0000"/>
      <rgbColor rgb="FF00FF00"/>
      <rgbColor rgb="FF0000FF"/>
      <rgbColor rgb="FFFFFF00"/>
      <rgbColor rgb="FFFF00FF"/>
      <rgbColor rgb="FF21E68A"/>
      <rgbColor rgb="FF1A1800"/>
      <rgbColor rgb="FF008000"/>
      <rgbColor rgb="FF0B1020"/>
      <rgbColor rgb="FF808000"/>
      <rgbColor rgb="FF070A0F"/>
      <rgbColor rgb="FF008080"/>
      <rgbColor rgb="FFC0C0C0"/>
      <rgbColor rgb="FF808080"/>
      <rgbColor rgb="FF8B5CF6"/>
      <rgbColor rgb="FFEF4444"/>
      <rgbColor rgb="FFFFFFCC"/>
      <rgbColor rgb="FFCCFFFF"/>
      <rgbColor rgb="FF1A0B0B"/>
      <rgbColor rgb="FFFF8080"/>
      <rgbColor rgb="FF0066CC"/>
      <rgbColor rgb="FFCCCCFF"/>
      <rgbColor rgb="FF0A0E15"/>
      <rgbColor rgb="FFFF00FF"/>
      <rgbColor rgb="FFFFFF00"/>
      <rgbColor rgb="FF00FFFF"/>
      <rgbColor rgb="FF800080"/>
      <rgbColor rgb="FF0D1219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4D399"/>
      <rgbColor rgb="FF99CC00"/>
      <rgbColor rgb="FFFFCC00"/>
      <rgbColor rgb="FFF59E0B"/>
      <rgbColor rgb="FFF97316"/>
      <rgbColor rgb="FF4A5568"/>
      <rgbColor rgb="FF969696"/>
      <rgbColor rgb="FF0B1628"/>
      <rgbColor rgb="FF339966"/>
      <rgbColor rgb="FF0B2014"/>
      <rgbColor rgb="FF1A2E1A"/>
      <rgbColor rgb="FF993300"/>
      <rgbColor rgb="FF993366"/>
      <rgbColor rgb="FF0A1E10"/>
      <rgbColor rgb="FF1C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E68A"/>
    <pageSetUpPr fitToPage="false"/>
  </sheetPr>
  <dimension ref="A1:AE2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3" min="12" style="0" width="18"/>
    <col collapsed="false" customWidth="true" hidden="false" outlineLevel="0" max="14" min="14" style="0" width="24"/>
    <col collapsed="false" customWidth="true" hidden="false" outlineLevel="0" max="18" min="15" style="0" width="14"/>
    <col collapsed="false" customWidth="true" hidden="false" outlineLevel="0" max="19" min="19" style="0" width="22"/>
    <col collapsed="false" customWidth="true" hidden="false" outlineLevel="0" max="20" min="20" style="0" width="11"/>
    <col collapsed="false" customWidth="true" hidden="false" outlineLevel="0" max="21" min="21" style="0" width="15"/>
    <col collapsed="false" customWidth="true" hidden="false" outlineLevel="0" max="22" min="22" style="0" width="14"/>
    <col collapsed="false" customWidth="true" hidden="false" outlineLevel="0" max="23" min="23" style="0" width="20"/>
    <col collapsed="false" customWidth="true" hidden="false" outlineLevel="0" max="24" min="24" style="0" width="18"/>
    <col collapsed="false" customWidth="true" hidden="false" outlineLevel="0" max="25" min="25" style="0" width="10"/>
    <col collapsed="false" customWidth="true" hidden="false" outlineLevel="0" max="26" min="26" style="0" width="14"/>
    <col collapsed="false" customWidth="true" hidden="false" outlineLevel="0" max="27" min="27" style="0" width="11"/>
    <col collapsed="false" customWidth="true" hidden="false" outlineLevel="0" max="31" min="28" style="0" width="1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4" t="s">
        <v>3</v>
      </c>
      <c r="P2" s="4"/>
      <c r="Q2" s="4"/>
      <c r="R2" s="4"/>
      <c r="S2" s="4"/>
      <c r="T2" s="4"/>
      <c r="U2" s="5" t="s">
        <v>4</v>
      </c>
      <c r="V2" s="5"/>
      <c r="W2" s="5"/>
      <c r="X2" s="5"/>
      <c r="Y2" s="6" t="s">
        <v>5</v>
      </c>
      <c r="Z2" s="6"/>
      <c r="AA2" s="6"/>
      <c r="AB2" s="7" t="s">
        <v>6</v>
      </c>
      <c r="AC2" s="7"/>
      <c r="AD2" s="7"/>
      <c r="AE2" s="7"/>
    </row>
    <row r="3" customFormat="false" ht="31.5" hidden="false" customHeight="true" outlineLevel="0" collapsed="false">
      <c r="A3" s="8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8" t="s">
        <v>16</v>
      </c>
      <c r="K3" s="8" t="s">
        <v>17</v>
      </c>
      <c r="L3" s="8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8" t="s">
        <v>28</v>
      </c>
      <c r="W3" s="8" t="s">
        <v>29</v>
      </c>
      <c r="X3" s="8" t="s">
        <v>30</v>
      </c>
      <c r="Y3" s="8" t="s">
        <v>31</v>
      </c>
      <c r="Z3" s="8" t="s">
        <v>32</v>
      </c>
      <c r="AA3" s="8" t="s">
        <v>33</v>
      </c>
      <c r="AB3" s="8" t="s">
        <v>34</v>
      </c>
      <c r="AC3" s="8" t="s">
        <v>35</v>
      </c>
      <c r="AD3" s="8" t="s">
        <v>36</v>
      </c>
      <c r="AE3" s="8" t="s">
        <v>37</v>
      </c>
    </row>
    <row r="4" customFormat="false" ht="13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9.5" hidden="false" customHeight="true" outlineLevel="0" collapsed="false">
      <c r="A5" s="10"/>
      <c r="B5" s="10"/>
      <c r="C5" s="10"/>
      <c r="D5" s="10"/>
      <c r="E5" s="10"/>
      <c r="F5" s="10"/>
      <c r="G5" s="10"/>
      <c r="H5" s="11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2" t="n">
        <f aca="false">IFERROR(ROUND((IF(O5="Severe",4,IF(O5="Moderate",3,IF(O5="Minor",2,0)))+IF(P5="Severe",4,IF(P5="Moderate",3,IF(P5="Minor",2,0)))+IF(Q5="Severe",4,IF(Q5="Moderate",3,IF(Q5="Minor",2,0)))+IF(R5="Severe",4,IF(R5="Moderate",3,IF(R5="Minor",2,0))))/16*100,0),"")</f>
        <v>0</v>
      </c>
      <c r="U5" s="11"/>
      <c r="V5" s="10"/>
      <c r="W5" s="10"/>
      <c r="X5" s="10"/>
      <c r="Y5" s="13" t="n">
        <f aca="false">IFERROR(ROUND(IF(H5&gt;=10,30,IF(H5&gt;=5,20,IF(H5&gt;=2,10,0)))+IF(K5="Yes",20,IF(K5="Unsure",10,0))+IF(U5="Yes",30,IF(U5="Later",15,0))+IFERROR(T5/100*20,0),0),"")</f>
        <v>0</v>
      </c>
      <c r="Z5" s="11" t="str">
        <f aca="false">IFERROR(IF(Y5&gt;=80,"🔥 HOT",IF(Y5&gt;=60,"✅ STRONG",IF(Y5&gt;=40,"⚡ WARM",IF(Y5&gt;=20,"📋 NURTURE",IF(Y5&gt;0,"❌ COLD",""))))),"")</f>
        <v/>
      </c>
      <c r="AA5" s="11" t="str">
        <f aca="false">IFERROR(IF(AND(Y5&gt;=60,OR(U5="Yes",U5="Later")),"🚨 URGENT",IF(AND(Y5&gt;=40,I5="Call Back"),"📞 CALL BACK",IF(I5="Booked Meeting","📅 BOOKED",IF(I5="Not Interested","🚫 DEAD","⏳ WORKING")))),"")</f>
        <v>⏳ WORKING</v>
      </c>
      <c r="AB5" s="14"/>
      <c r="AC5" s="15"/>
      <c r="AD5" s="16" t="str">
        <f aca="true">IFERROR(IF(AC5="","",AC5-TODAY()),"")</f>
        <v/>
      </c>
      <c r="AE5" s="10"/>
    </row>
    <row r="6" customFormat="false" ht="19.5" hidden="false" customHeight="true" outlineLevel="0" collapsed="false">
      <c r="A6" s="17"/>
      <c r="B6" s="17"/>
      <c r="C6" s="17"/>
      <c r="D6" s="17"/>
      <c r="E6" s="17"/>
      <c r="F6" s="17"/>
      <c r="G6" s="17"/>
      <c r="H6" s="18"/>
      <c r="I6" s="17"/>
      <c r="J6" s="17"/>
      <c r="K6" s="18"/>
      <c r="L6" s="17"/>
      <c r="M6" s="17"/>
      <c r="N6" s="17"/>
      <c r="O6" s="17"/>
      <c r="P6" s="17"/>
      <c r="Q6" s="17"/>
      <c r="R6" s="17"/>
      <c r="S6" s="17"/>
      <c r="T6" s="19" t="n">
        <f aca="false">IFERROR(ROUND((IF(O6="Severe",4,IF(O6="Moderate",3,IF(O6="Minor",2,0)))+IF(P6="Severe",4,IF(P6="Moderate",3,IF(P6="Minor",2,0)))+IF(Q6="Severe",4,IF(Q6="Moderate",3,IF(Q6="Minor",2,0)))+IF(R6="Severe",4,IF(R6="Moderate",3,IF(R6="Minor",2,0))))/16*100,0),"")</f>
        <v>0</v>
      </c>
      <c r="U6" s="18"/>
      <c r="V6" s="17"/>
      <c r="W6" s="17"/>
      <c r="X6" s="17"/>
      <c r="Y6" s="20" t="n">
        <f aca="false">IFERROR(ROUND(IF(H6&gt;=10,30,IF(H6&gt;=5,20,IF(H6&gt;=2,10,0)))+IF(K6="Yes",20,IF(K6="Unsure",10,0))+IF(U6="Yes",30,IF(U6="Later",15,0))+IFERROR(T6/100*20,0),0),"")</f>
        <v>0</v>
      </c>
      <c r="Z6" s="18" t="str">
        <f aca="false">IFERROR(IF(Y6&gt;=80,"🔥 HOT",IF(Y6&gt;=60,"✅ STRONG",IF(Y6&gt;=40,"⚡ WARM",IF(Y6&gt;=20,"📋 NURTURE",IF(Y6&gt;0,"❌ COLD",""))))),"")</f>
        <v/>
      </c>
      <c r="AA6" s="18" t="str">
        <f aca="false">IFERROR(IF(AND(Y6&gt;=60,OR(U6="Yes",U6="Later")),"🚨 URGENT",IF(AND(Y6&gt;=40,I6="Call Back"),"📞 CALL BACK",IF(I6="Booked Meeting","📅 BOOKED",IF(I6="Not Interested","🚫 DEAD","⏳ WORKING")))),"")</f>
        <v>⏳ WORKING</v>
      </c>
      <c r="AB6" s="21"/>
      <c r="AC6" s="22"/>
      <c r="AD6" s="23" t="str">
        <f aca="true">IFERROR(IF(AC6="","",AC6-TODAY()),"")</f>
        <v/>
      </c>
      <c r="AE6" s="17"/>
    </row>
    <row r="7" customFormat="false" ht="19.5" hidden="false" customHeight="true" outlineLevel="0" collapsed="false">
      <c r="A7" s="10"/>
      <c r="B7" s="10"/>
      <c r="C7" s="10"/>
      <c r="D7" s="10"/>
      <c r="E7" s="10"/>
      <c r="F7" s="10"/>
      <c r="G7" s="10"/>
      <c r="H7" s="11"/>
      <c r="I7" s="10"/>
      <c r="J7" s="10"/>
      <c r="K7" s="11"/>
      <c r="L7" s="10"/>
      <c r="M7" s="10"/>
      <c r="N7" s="10"/>
      <c r="O7" s="10"/>
      <c r="P7" s="10"/>
      <c r="Q7" s="10"/>
      <c r="R7" s="10"/>
      <c r="S7" s="10"/>
      <c r="T7" s="12" t="n">
        <f aca="false">IFERROR(ROUND((IF(O7="Severe",4,IF(O7="Moderate",3,IF(O7="Minor",2,0)))+IF(P7="Severe",4,IF(P7="Moderate",3,IF(P7="Minor",2,0)))+IF(Q7="Severe",4,IF(Q7="Moderate",3,IF(Q7="Minor",2,0)))+IF(R7="Severe",4,IF(R7="Moderate",3,IF(R7="Minor",2,0))))/16*100,0),"")</f>
        <v>0</v>
      </c>
      <c r="U7" s="11"/>
      <c r="V7" s="10"/>
      <c r="W7" s="10"/>
      <c r="X7" s="10"/>
      <c r="Y7" s="13" t="n">
        <f aca="false">IFERROR(ROUND(IF(H7&gt;=10,30,IF(H7&gt;=5,20,IF(H7&gt;=2,10,0)))+IF(K7="Yes",20,IF(K7="Unsure",10,0))+IF(U7="Yes",30,IF(U7="Later",15,0))+IFERROR(T7/100*20,0),0),"")</f>
        <v>0</v>
      </c>
      <c r="Z7" s="11" t="str">
        <f aca="false">IFERROR(IF(Y7&gt;=80,"🔥 HOT",IF(Y7&gt;=60,"✅ STRONG",IF(Y7&gt;=40,"⚡ WARM",IF(Y7&gt;=20,"📋 NURTURE",IF(Y7&gt;0,"❌ COLD",""))))),"")</f>
        <v/>
      </c>
      <c r="AA7" s="11" t="str">
        <f aca="false">IFERROR(IF(AND(Y7&gt;=60,OR(U7="Yes",U7="Later")),"🚨 URGENT",IF(AND(Y7&gt;=40,I7="Call Back"),"📞 CALL BACK",IF(I7="Booked Meeting","📅 BOOKED",IF(I7="Not Interested","🚫 DEAD","⏳ WORKING")))),"")</f>
        <v>⏳ WORKING</v>
      </c>
      <c r="AB7" s="14"/>
      <c r="AC7" s="15"/>
      <c r="AD7" s="16" t="str">
        <f aca="true">IFERROR(IF(AC7="","",AC7-TODAY()),"")</f>
        <v/>
      </c>
      <c r="AE7" s="10"/>
    </row>
    <row r="8" customFormat="false" ht="19.5" hidden="false" customHeight="true" outlineLevel="0" collapsed="false">
      <c r="A8" s="17"/>
      <c r="B8" s="17"/>
      <c r="C8" s="17"/>
      <c r="D8" s="17"/>
      <c r="E8" s="17"/>
      <c r="F8" s="17"/>
      <c r="G8" s="17"/>
      <c r="H8" s="18"/>
      <c r="I8" s="17"/>
      <c r="J8" s="17"/>
      <c r="K8" s="18"/>
      <c r="L8" s="17"/>
      <c r="M8" s="17"/>
      <c r="N8" s="17"/>
      <c r="O8" s="17"/>
      <c r="P8" s="17"/>
      <c r="Q8" s="17"/>
      <c r="R8" s="17"/>
      <c r="S8" s="17"/>
      <c r="T8" s="19" t="n">
        <f aca="false">IFERROR(ROUND((IF(O8="Severe",4,IF(O8="Moderate",3,IF(O8="Minor",2,0)))+IF(P8="Severe",4,IF(P8="Moderate",3,IF(P8="Minor",2,0)))+IF(Q8="Severe",4,IF(Q8="Moderate",3,IF(Q8="Minor",2,0)))+IF(R8="Severe",4,IF(R8="Moderate",3,IF(R8="Minor",2,0))))/16*100,0),"")</f>
        <v>0</v>
      </c>
      <c r="U8" s="18"/>
      <c r="V8" s="17"/>
      <c r="W8" s="17"/>
      <c r="X8" s="17"/>
      <c r="Y8" s="20" t="n">
        <f aca="false">IFERROR(ROUND(IF(H8&gt;=10,30,IF(H8&gt;=5,20,IF(H8&gt;=2,10,0)))+IF(K8="Yes",20,IF(K8="Unsure",10,0))+IF(U8="Yes",30,IF(U8="Later",15,0))+IFERROR(T8/100*20,0),0),"")</f>
        <v>0</v>
      </c>
      <c r="Z8" s="18" t="str">
        <f aca="false">IFERROR(IF(Y8&gt;=80,"🔥 HOT",IF(Y8&gt;=60,"✅ STRONG",IF(Y8&gt;=40,"⚡ WARM",IF(Y8&gt;=20,"📋 NURTURE",IF(Y8&gt;0,"❌ COLD",""))))),"")</f>
        <v/>
      </c>
      <c r="AA8" s="18" t="str">
        <f aca="false">IFERROR(IF(AND(Y8&gt;=60,OR(U8="Yes",U8="Later")),"🚨 URGENT",IF(AND(Y8&gt;=40,I8="Call Back"),"📞 CALL BACK",IF(I8="Booked Meeting","📅 BOOKED",IF(I8="Not Interested","🚫 DEAD","⏳ WORKING")))),"")</f>
        <v>⏳ WORKING</v>
      </c>
      <c r="AB8" s="21"/>
      <c r="AC8" s="22"/>
      <c r="AD8" s="23" t="str">
        <f aca="true">IFERROR(IF(AC8="","",AC8-TODAY()),"")</f>
        <v/>
      </c>
      <c r="AE8" s="17"/>
    </row>
    <row r="9" customFormat="false" ht="19.5" hidden="false" customHeight="true" outlineLevel="0" collapsed="false">
      <c r="A9" s="10"/>
      <c r="B9" s="10"/>
      <c r="C9" s="10"/>
      <c r="D9" s="10"/>
      <c r="E9" s="10"/>
      <c r="F9" s="10"/>
      <c r="G9" s="10"/>
      <c r="H9" s="11"/>
      <c r="I9" s="10"/>
      <c r="J9" s="10"/>
      <c r="K9" s="11"/>
      <c r="L9" s="10"/>
      <c r="M9" s="10"/>
      <c r="N9" s="10"/>
      <c r="O9" s="10"/>
      <c r="P9" s="10"/>
      <c r="Q9" s="10"/>
      <c r="R9" s="10"/>
      <c r="S9" s="10"/>
      <c r="T9" s="12" t="n">
        <f aca="false">IFERROR(ROUND((IF(O9="Severe",4,IF(O9="Moderate",3,IF(O9="Minor",2,0)))+IF(P9="Severe",4,IF(P9="Moderate",3,IF(P9="Minor",2,0)))+IF(Q9="Severe",4,IF(Q9="Moderate",3,IF(Q9="Minor",2,0)))+IF(R9="Severe",4,IF(R9="Moderate",3,IF(R9="Minor",2,0))))/16*100,0),"")</f>
        <v>0</v>
      </c>
      <c r="U9" s="11"/>
      <c r="V9" s="10"/>
      <c r="W9" s="10"/>
      <c r="X9" s="10"/>
      <c r="Y9" s="13" t="n">
        <f aca="false">IFERROR(ROUND(IF(H9&gt;=10,30,IF(H9&gt;=5,20,IF(H9&gt;=2,10,0)))+IF(K9="Yes",20,IF(K9="Unsure",10,0))+IF(U9="Yes",30,IF(U9="Later",15,0))+IFERROR(T9/100*20,0),0),"")</f>
        <v>0</v>
      </c>
      <c r="Z9" s="11" t="str">
        <f aca="false">IFERROR(IF(Y9&gt;=80,"🔥 HOT",IF(Y9&gt;=60,"✅ STRONG",IF(Y9&gt;=40,"⚡ WARM",IF(Y9&gt;=20,"📋 NURTURE",IF(Y9&gt;0,"❌ COLD",""))))),"")</f>
        <v/>
      </c>
      <c r="AA9" s="11" t="str">
        <f aca="false">IFERROR(IF(AND(Y9&gt;=60,OR(U9="Yes",U9="Later")),"🚨 URGENT",IF(AND(Y9&gt;=40,I9="Call Back"),"📞 CALL BACK",IF(I9="Booked Meeting","📅 BOOKED",IF(I9="Not Interested","🚫 DEAD","⏳ WORKING")))),"")</f>
        <v>⏳ WORKING</v>
      </c>
      <c r="AB9" s="14"/>
      <c r="AC9" s="15"/>
      <c r="AD9" s="16" t="str">
        <f aca="true">IFERROR(IF(AC9="","",AC9-TODAY()),"")</f>
        <v/>
      </c>
      <c r="AE9" s="10"/>
    </row>
    <row r="10" customFormat="false" ht="19.5" hidden="false" customHeight="true" outlineLevel="0" collapsed="false">
      <c r="A10" s="17"/>
      <c r="B10" s="17"/>
      <c r="C10" s="17"/>
      <c r="D10" s="17"/>
      <c r="E10" s="17"/>
      <c r="F10" s="17"/>
      <c r="G10" s="17"/>
      <c r="H10" s="18"/>
      <c r="I10" s="17"/>
      <c r="J10" s="17"/>
      <c r="K10" s="18"/>
      <c r="L10" s="17"/>
      <c r="M10" s="17"/>
      <c r="N10" s="17"/>
      <c r="O10" s="17"/>
      <c r="P10" s="17"/>
      <c r="Q10" s="17"/>
      <c r="R10" s="17"/>
      <c r="S10" s="17"/>
      <c r="T10" s="19" t="n">
        <f aca="false">IFERROR(ROUND((IF(O10="Severe",4,IF(O10="Moderate",3,IF(O10="Minor",2,0)))+IF(P10="Severe",4,IF(P10="Moderate",3,IF(P10="Minor",2,0)))+IF(Q10="Severe",4,IF(Q10="Moderate",3,IF(Q10="Minor",2,0)))+IF(R10="Severe",4,IF(R10="Moderate",3,IF(R10="Minor",2,0))))/16*100,0),"")</f>
        <v>0</v>
      </c>
      <c r="U10" s="18"/>
      <c r="V10" s="17"/>
      <c r="W10" s="17"/>
      <c r="X10" s="17"/>
      <c r="Y10" s="20" t="n">
        <f aca="false">IFERROR(ROUND(IF(H10&gt;=10,30,IF(H10&gt;=5,20,IF(H10&gt;=2,10,0)))+IF(K10="Yes",20,IF(K10="Unsure",10,0))+IF(U10="Yes",30,IF(U10="Later",15,0))+IFERROR(T10/100*20,0),0),"")</f>
        <v>0</v>
      </c>
      <c r="Z10" s="18" t="str">
        <f aca="false">IFERROR(IF(Y10&gt;=80,"🔥 HOT",IF(Y10&gt;=60,"✅ STRONG",IF(Y10&gt;=40,"⚡ WARM",IF(Y10&gt;=20,"📋 NURTURE",IF(Y10&gt;0,"❌ COLD",""))))),"")</f>
        <v/>
      </c>
      <c r="AA10" s="18" t="str">
        <f aca="false">IFERROR(IF(AND(Y10&gt;=60,OR(U10="Yes",U10="Later")),"🚨 URGENT",IF(AND(Y10&gt;=40,I10="Call Back"),"📞 CALL BACK",IF(I10="Booked Meeting","📅 BOOKED",IF(I10="Not Interested","🚫 DEAD","⏳ WORKING")))),"")</f>
        <v>⏳ WORKING</v>
      </c>
      <c r="AB10" s="21"/>
      <c r="AC10" s="22"/>
      <c r="AD10" s="23" t="str">
        <f aca="true">IFERROR(IF(AC10="","",AC10-TODAY()),"")</f>
        <v/>
      </c>
      <c r="AE10" s="17"/>
    </row>
    <row r="11" customFormat="false" ht="19.5" hidden="false" customHeight="true" outlineLevel="0" collapsed="false">
      <c r="A11" s="10"/>
      <c r="B11" s="10"/>
      <c r="C11" s="10"/>
      <c r="D11" s="10"/>
      <c r="E11" s="10"/>
      <c r="F11" s="10"/>
      <c r="G11" s="10"/>
      <c r="H11" s="11"/>
      <c r="I11" s="10"/>
      <c r="J11" s="10"/>
      <c r="K11" s="11"/>
      <c r="L11" s="10"/>
      <c r="M11" s="10"/>
      <c r="N11" s="10"/>
      <c r="O11" s="10"/>
      <c r="P11" s="10"/>
      <c r="Q11" s="10"/>
      <c r="R11" s="10"/>
      <c r="S11" s="10"/>
      <c r="T11" s="12" t="n">
        <f aca="false">IFERROR(ROUND((IF(O11="Severe",4,IF(O11="Moderate",3,IF(O11="Minor",2,0)))+IF(P11="Severe",4,IF(P11="Moderate",3,IF(P11="Minor",2,0)))+IF(Q11="Severe",4,IF(Q11="Moderate",3,IF(Q11="Minor",2,0)))+IF(R11="Severe",4,IF(R11="Moderate",3,IF(R11="Minor",2,0))))/16*100,0),"")</f>
        <v>0</v>
      </c>
      <c r="U11" s="11"/>
      <c r="V11" s="10"/>
      <c r="W11" s="10"/>
      <c r="X11" s="10"/>
      <c r="Y11" s="13" t="n">
        <f aca="false">IFERROR(ROUND(IF(H11&gt;=10,30,IF(H11&gt;=5,20,IF(H11&gt;=2,10,0)))+IF(K11="Yes",20,IF(K11="Unsure",10,0))+IF(U11="Yes",30,IF(U11="Later",15,0))+IFERROR(T11/100*20,0),0),"")</f>
        <v>0</v>
      </c>
      <c r="Z11" s="11" t="str">
        <f aca="false">IFERROR(IF(Y11&gt;=80,"🔥 HOT",IF(Y11&gt;=60,"✅ STRONG",IF(Y11&gt;=40,"⚡ WARM",IF(Y11&gt;=20,"📋 NURTURE",IF(Y11&gt;0,"❌ COLD",""))))),"")</f>
        <v/>
      </c>
      <c r="AA11" s="11" t="str">
        <f aca="false">IFERROR(IF(AND(Y11&gt;=60,OR(U11="Yes",U11="Later")),"🚨 URGENT",IF(AND(Y11&gt;=40,I11="Call Back"),"📞 CALL BACK",IF(I11="Booked Meeting","📅 BOOKED",IF(I11="Not Interested","🚫 DEAD","⏳ WORKING")))),"")</f>
        <v>⏳ WORKING</v>
      </c>
      <c r="AB11" s="14"/>
      <c r="AC11" s="15"/>
      <c r="AD11" s="16" t="str">
        <f aca="true">IFERROR(IF(AC11="","",AC11-TODAY()),"")</f>
        <v/>
      </c>
      <c r="AE11" s="10"/>
    </row>
    <row r="12" customFormat="false" ht="19.5" hidden="false" customHeight="true" outlineLevel="0" collapsed="false">
      <c r="A12" s="17"/>
      <c r="B12" s="17"/>
      <c r="C12" s="17"/>
      <c r="D12" s="17"/>
      <c r="E12" s="17"/>
      <c r="F12" s="17"/>
      <c r="G12" s="17"/>
      <c r="H12" s="18"/>
      <c r="I12" s="17"/>
      <c r="J12" s="17"/>
      <c r="K12" s="18"/>
      <c r="L12" s="17"/>
      <c r="M12" s="17"/>
      <c r="N12" s="17"/>
      <c r="O12" s="17"/>
      <c r="P12" s="17"/>
      <c r="Q12" s="17"/>
      <c r="R12" s="17"/>
      <c r="S12" s="17"/>
      <c r="T12" s="19" t="n">
        <f aca="false">IFERROR(ROUND((IF(O12="Severe",4,IF(O12="Moderate",3,IF(O12="Minor",2,0)))+IF(P12="Severe",4,IF(P12="Moderate",3,IF(P12="Minor",2,0)))+IF(Q12="Severe",4,IF(Q12="Moderate",3,IF(Q12="Minor",2,0)))+IF(R12="Severe",4,IF(R12="Moderate",3,IF(R12="Minor",2,0))))/16*100,0),"")</f>
        <v>0</v>
      </c>
      <c r="U12" s="18"/>
      <c r="V12" s="17"/>
      <c r="W12" s="17"/>
      <c r="X12" s="17"/>
      <c r="Y12" s="20" t="n">
        <f aca="false">IFERROR(ROUND(IF(H12&gt;=10,30,IF(H12&gt;=5,20,IF(H12&gt;=2,10,0)))+IF(K12="Yes",20,IF(K12="Unsure",10,0))+IF(U12="Yes",30,IF(U12="Later",15,0))+IFERROR(T12/100*20,0),0),"")</f>
        <v>0</v>
      </c>
      <c r="Z12" s="18" t="str">
        <f aca="false">IFERROR(IF(Y12&gt;=80,"🔥 HOT",IF(Y12&gt;=60,"✅ STRONG",IF(Y12&gt;=40,"⚡ WARM",IF(Y12&gt;=20,"📋 NURTURE",IF(Y12&gt;0,"❌ COLD",""))))),"")</f>
        <v/>
      </c>
      <c r="AA12" s="18" t="str">
        <f aca="false">IFERROR(IF(AND(Y12&gt;=60,OR(U12="Yes",U12="Later")),"🚨 URGENT",IF(AND(Y12&gt;=40,I12="Call Back"),"📞 CALL BACK",IF(I12="Booked Meeting","📅 BOOKED",IF(I12="Not Interested","🚫 DEAD","⏳ WORKING")))),"")</f>
        <v>⏳ WORKING</v>
      </c>
      <c r="AB12" s="21"/>
      <c r="AC12" s="22"/>
      <c r="AD12" s="23" t="str">
        <f aca="true">IFERROR(IF(AC12="","",AC12-TODAY()),"")</f>
        <v/>
      </c>
      <c r="AE12" s="17"/>
    </row>
    <row r="13" customFormat="false" ht="19.5" hidden="false" customHeight="true" outlineLevel="0" collapsed="false">
      <c r="A13" s="10"/>
      <c r="B13" s="10"/>
      <c r="C13" s="10"/>
      <c r="D13" s="10"/>
      <c r="E13" s="10"/>
      <c r="F13" s="10"/>
      <c r="G13" s="10"/>
      <c r="H13" s="11"/>
      <c r="I13" s="10"/>
      <c r="J13" s="10"/>
      <c r="K13" s="11"/>
      <c r="L13" s="10"/>
      <c r="M13" s="10"/>
      <c r="N13" s="10"/>
      <c r="O13" s="10"/>
      <c r="P13" s="10"/>
      <c r="Q13" s="10"/>
      <c r="R13" s="10"/>
      <c r="S13" s="10"/>
      <c r="T13" s="12" t="n">
        <f aca="false">IFERROR(ROUND((IF(O13="Severe",4,IF(O13="Moderate",3,IF(O13="Minor",2,0)))+IF(P13="Severe",4,IF(P13="Moderate",3,IF(P13="Minor",2,0)))+IF(Q13="Severe",4,IF(Q13="Moderate",3,IF(Q13="Minor",2,0)))+IF(R13="Severe",4,IF(R13="Moderate",3,IF(R13="Minor",2,0))))/16*100,0),"")</f>
        <v>0</v>
      </c>
      <c r="U13" s="11"/>
      <c r="V13" s="10"/>
      <c r="W13" s="10"/>
      <c r="X13" s="10"/>
      <c r="Y13" s="13" t="n">
        <f aca="false">IFERROR(ROUND(IF(H13&gt;=10,30,IF(H13&gt;=5,20,IF(H13&gt;=2,10,0)))+IF(K13="Yes",20,IF(K13="Unsure",10,0))+IF(U13="Yes",30,IF(U13="Later",15,0))+IFERROR(T13/100*20,0),0),"")</f>
        <v>0</v>
      </c>
      <c r="Z13" s="11" t="str">
        <f aca="false">IFERROR(IF(Y13&gt;=80,"🔥 HOT",IF(Y13&gt;=60,"✅ STRONG",IF(Y13&gt;=40,"⚡ WARM",IF(Y13&gt;=20,"📋 NURTURE",IF(Y13&gt;0,"❌ COLD",""))))),"")</f>
        <v/>
      </c>
      <c r="AA13" s="11" t="str">
        <f aca="false">IFERROR(IF(AND(Y13&gt;=60,OR(U13="Yes",U13="Later")),"🚨 URGENT",IF(AND(Y13&gt;=40,I13="Call Back"),"📞 CALL BACK",IF(I13="Booked Meeting","📅 BOOKED",IF(I13="Not Interested","🚫 DEAD","⏳ WORKING")))),"")</f>
        <v>⏳ WORKING</v>
      </c>
      <c r="AB13" s="14"/>
      <c r="AC13" s="15"/>
      <c r="AD13" s="16" t="str">
        <f aca="true">IFERROR(IF(AC13="","",AC13-TODAY()),"")</f>
        <v/>
      </c>
      <c r="AE13" s="10"/>
    </row>
    <row r="14" customFormat="false" ht="19.5" hidden="false" customHeight="true" outlineLevel="0" collapsed="false">
      <c r="A14" s="17"/>
      <c r="B14" s="17"/>
      <c r="C14" s="17"/>
      <c r="D14" s="17"/>
      <c r="E14" s="17"/>
      <c r="F14" s="17"/>
      <c r="G14" s="17"/>
      <c r="H14" s="18"/>
      <c r="I14" s="17"/>
      <c r="J14" s="17"/>
      <c r="K14" s="18"/>
      <c r="L14" s="17"/>
      <c r="M14" s="17"/>
      <c r="N14" s="17"/>
      <c r="O14" s="17"/>
      <c r="P14" s="17"/>
      <c r="Q14" s="17"/>
      <c r="R14" s="17"/>
      <c r="S14" s="17"/>
      <c r="T14" s="19" t="n">
        <f aca="false">IFERROR(ROUND((IF(O14="Severe",4,IF(O14="Moderate",3,IF(O14="Minor",2,0)))+IF(P14="Severe",4,IF(P14="Moderate",3,IF(P14="Minor",2,0)))+IF(Q14="Severe",4,IF(Q14="Moderate",3,IF(Q14="Minor",2,0)))+IF(R14="Severe",4,IF(R14="Moderate",3,IF(R14="Minor",2,0))))/16*100,0),"")</f>
        <v>0</v>
      </c>
      <c r="U14" s="18"/>
      <c r="V14" s="17"/>
      <c r="W14" s="17"/>
      <c r="X14" s="17"/>
      <c r="Y14" s="20" t="n">
        <f aca="false">IFERROR(ROUND(IF(H14&gt;=10,30,IF(H14&gt;=5,20,IF(H14&gt;=2,10,0)))+IF(K14="Yes",20,IF(K14="Unsure",10,0))+IF(U14="Yes",30,IF(U14="Later",15,0))+IFERROR(T14/100*20,0),0),"")</f>
        <v>0</v>
      </c>
      <c r="Z14" s="18" t="str">
        <f aca="false">IFERROR(IF(Y14&gt;=80,"🔥 HOT",IF(Y14&gt;=60,"✅ STRONG",IF(Y14&gt;=40,"⚡ WARM",IF(Y14&gt;=20,"📋 NURTURE",IF(Y14&gt;0,"❌ COLD",""))))),"")</f>
        <v/>
      </c>
      <c r="AA14" s="18" t="str">
        <f aca="false">IFERROR(IF(AND(Y14&gt;=60,OR(U14="Yes",U14="Later")),"🚨 URGENT",IF(AND(Y14&gt;=40,I14="Call Back"),"📞 CALL BACK",IF(I14="Booked Meeting","📅 BOOKED",IF(I14="Not Interested","🚫 DEAD","⏳ WORKING")))),"")</f>
        <v>⏳ WORKING</v>
      </c>
      <c r="AB14" s="21"/>
      <c r="AC14" s="22"/>
      <c r="AD14" s="23" t="str">
        <f aca="true">IFERROR(IF(AC14="","",AC14-TODAY()),"")</f>
        <v/>
      </c>
      <c r="AE14" s="17"/>
    </row>
    <row r="15" customFormat="false" ht="19.5" hidden="false" customHeight="true" outlineLevel="0" collapsed="false">
      <c r="A15" s="10"/>
      <c r="B15" s="10"/>
      <c r="C15" s="10"/>
      <c r="D15" s="10"/>
      <c r="E15" s="10"/>
      <c r="F15" s="10"/>
      <c r="G15" s="10"/>
      <c r="H15" s="11"/>
      <c r="I15" s="10"/>
      <c r="J15" s="10"/>
      <c r="K15" s="11"/>
      <c r="L15" s="10"/>
      <c r="M15" s="10"/>
      <c r="N15" s="10"/>
      <c r="O15" s="10"/>
      <c r="P15" s="10"/>
      <c r="Q15" s="10"/>
      <c r="R15" s="10"/>
      <c r="S15" s="10"/>
      <c r="T15" s="12" t="n">
        <f aca="false">IFERROR(ROUND((IF(O15="Severe",4,IF(O15="Moderate",3,IF(O15="Minor",2,0)))+IF(P15="Severe",4,IF(P15="Moderate",3,IF(P15="Minor",2,0)))+IF(Q15="Severe",4,IF(Q15="Moderate",3,IF(Q15="Minor",2,0)))+IF(R15="Severe",4,IF(R15="Moderate",3,IF(R15="Minor",2,0))))/16*100,0),"")</f>
        <v>0</v>
      </c>
      <c r="U15" s="11"/>
      <c r="V15" s="10"/>
      <c r="W15" s="10"/>
      <c r="X15" s="10"/>
      <c r="Y15" s="13" t="n">
        <f aca="false">IFERROR(ROUND(IF(H15&gt;=10,30,IF(H15&gt;=5,20,IF(H15&gt;=2,10,0)))+IF(K15="Yes",20,IF(K15="Unsure",10,0))+IF(U15="Yes",30,IF(U15="Later",15,0))+IFERROR(T15/100*20,0),0),"")</f>
        <v>0</v>
      </c>
      <c r="Z15" s="11" t="str">
        <f aca="false">IFERROR(IF(Y15&gt;=80,"🔥 HOT",IF(Y15&gt;=60,"✅ STRONG",IF(Y15&gt;=40,"⚡ WARM",IF(Y15&gt;=20,"📋 NURTURE",IF(Y15&gt;0,"❌ COLD",""))))),"")</f>
        <v/>
      </c>
      <c r="AA15" s="11" t="str">
        <f aca="false">IFERROR(IF(AND(Y15&gt;=60,OR(U15="Yes",U15="Later")),"🚨 URGENT",IF(AND(Y15&gt;=40,I15="Call Back"),"📞 CALL BACK",IF(I15="Booked Meeting","📅 BOOKED",IF(I15="Not Interested","🚫 DEAD","⏳ WORKING")))),"")</f>
        <v>⏳ WORKING</v>
      </c>
      <c r="AB15" s="14"/>
      <c r="AC15" s="15"/>
      <c r="AD15" s="16" t="str">
        <f aca="true">IFERROR(IF(AC15="","",AC15-TODAY()),"")</f>
        <v/>
      </c>
      <c r="AE15" s="10"/>
    </row>
    <row r="16" customFormat="false" ht="19.5" hidden="false" customHeight="true" outlineLevel="0" collapsed="false">
      <c r="A16" s="17"/>
      <c r="B16" s="17"/>
      <c r="C16" s="17"/>
      <c r="D16" s="17"/>
      <c r="E16" s="17"/>
      <c r="F16" s="17"/>
      <c r="G16" s="17"/>
      <c r="H16" s="18"/>
      <c r="I16" s="17"/>
      <c r="J16" s="17"/>
      <c r="K16" s="18"/>
      <c r="L16" s="17"/>
      <c r="M16" s="17"/>
      <c r="N16" s="17"/>
      <c r="O16" s="17"/>
      <c r="P16" s="17"/>
      <c r="Q16" s="17"/>
      <c r="R16" s="17"/>
      <c r="S16" s="17"/>
      <c r="T16" s="19" t="n">
        <f aca="false">IFERROR(ROUND((IF(O16="Severe",4,IF(O16="Moderate",3,IF(O16="Minor",2,0)))+IF(P16="Severe",4,IF(P16="Moderate",3,IF(P16="Minor",2,0)))+IF(Q16="Severe",4,IF(Q16="Moderate",3,IF(Q16="Minor",2,0)))+IF(R16="Severe",4,IF(R16="Moderate",3,IF(R16="Minor",2,0))))/16*100,0),"")</f>
        <v>0</v>
      </c>
      <c r="U16" s="18"/>
      <c r="V16" s="17"/>
      <c r="W16" s="17"/>
      <c r="X16" s="17"/>
      <c r="Y16" s="20" t="n">
        <f aca="false">IFERROR(ROUND(IF(H16&gt;=10,30,IF(H16&gt;=5,20,IF(H16&gt;=2,10,0)))+IF(K16="Yes",20,IF(K16="Unsure",10,0))+IF(U16="Yes",30,IF(U16="Later",15,0))+IFERROR(T16/100*20,0),0),"")</f>
        <v>0</v>
      </c>
      <c r="Z16" s="18" t="str">
        <f aca="false">IFERROR(IF(Y16&gt;=80,"🔥 HOT",IF(Y16&gt;=60,"✅ STRONG",IF(Y16&gt;=40,"⚡ WARM",IF(Y16&gt;=20,"📋 NURTURE",IF(Y16&gt;0,"❌ COLD",""))))),"")</f>
        <v/>
      </c>
      <c r="AA16" s="18" t="str">
        <f aca="false">IFERROR(IF(AND(Y16&gt;=60,OR(U16="Yes",U16="Later")),"🚨 URGENT",IF(AND(Y16&gt;=40,I16="Call Back"),"📞 CALL BACK",IF(I16="Booked Meeting","📅 BOOKED",IF(I16="Not Interested","🚫 DEAD","⏳ WORKING")))),"")</f>
        <v>⏳ WORKING</v>
      </c>
      <c r="AB16" s="21"/>
      <c r="AC16" s="22"/>
      <c r="AD16" s="23" t="str">
        <f aca="true">IFERROR(IF(AC16="","",AC16-TODAY()),"")</f>
        <v/>
      </c>
      <c r="AE16" s="17"/>
    </row>
    <row r="17" customFormat="false" ht="19.5" hidden="false" customHeight="true" outlineLevel="0" collapsed="false">
      <c r="A17" s="10"/>
      <c r="B17" s="10"/>
      <c r="C17" s="10"/>
      <c r="D17" s="10"/>
      <c r="E17" s="10"/>
      <c r="F17" s="10"/>
      <c r="G17" s="10"/>
      <c r="H17" s="11"/>
      <c r="I17" s="10"/>
      <c r="J17" s="10"/>
      <c r="K17" s="11"/>
      <c r="L17" s="10"/>
      <c r="M17" s="10"/>
      <c r="N17" s="10"/>
      <c r="O17" s="10"/>
      <c r="P17" s="10"/>
      <c r="Q17" s="10"/>
      <c r="R17" s="10"/>
      <c r="S17" s="10"/>
      <c r="T17" s="12" t="n">
        <f aca="false">IFERROR(ROUND((IF(O17="Severe",4,IF(O17="Moderate",3,IF(O17="Minor",2,0)))+IF(P17="Severe",4,IF(P17="Moderate",3,IF(P17="Minor",2,0)))+IF(Q17="Severe",4,IF(Q17="Moderate",3,IF(Q17="Minor",2,0)))+IF(R17="Severe",4,IF(R17="Moderate",3,IF(R17="Minor",2,0))))/16*100,0),"")</f>
        <v>0</v>
      </c>
      <c r="U17" s="11"/>
      <c r="V17" s="10"/>
      <c r="W17" s="10"/>
      <c r="X17" s="10"/>
      <c r="Y17" s="13" t="n">
        <f aca="false">IFERROR(ROUND(IF(H17&gt;=10,30,IF(H17&gt;=5,20,IF(H17&gt;=2,10,0)))+IF(K17="Yes",20,IF(K17="Unsure",10,0))+IF(U17="Yes",30,IF(U17="Later",15,0))+IFERROR(T17/100*20,0),0),"")</f>
        <v>0</v>
      </c>
      <c r="Z17" s="11" t="str">
        <f aca="false">IFERROR(IF(Y17&gt;=80,"🔥 HOT",IF(Y17&gt;=60,"✅ STRONG",IF(Y17&gt;=40,"⚡ WARM",IF(Y17&gt;=20,"📋 NURTURE",IF(Y17&gt;0,"❌ COLD",""))))),"")</f>
        <v/>
      </c>
      <c r="AA17" s="11" t="str">
        <f aca="false">IFERROR(IF(AND(Y17&gt;=60,OR(U17="Yes",U17="Later")),"🚨 URGENT",IF(AND(Y17&gt;=40,I17="Call Back"),"📞 CALL BACK",IF(I17="Booked Meeting","📅 BOOKED",IF(I17="Not Interested","🚫 DEAD","⏳ WORKING")))),"")</f>
        <v>⏳ WORKING</v>
      </c>
      <c r="AB17" s="14"/>
      <c r="AC17" s="15"/>
      <c r="AD17" s="16" t="str">
        <f aca="true">IFERROR(IF(AC17="","",AC17-TODAY()),"")</f>
        <v/>
      </c>
      <c r="AE17" s="10"/>
    </row>
    <row r="18" customFormat="false" ht="19.5" hidden="false" customHeight="true" outlineLevel="0" collapsed="false">
      <c r="A18" s="17"/>
      <c r="B18" s="17"/>
      <c r="C18" s="17"/>
      <c r="D18" s="17"/>
      <c r="E18" s="17"/>
      <c r="F18" s="17"/>
      <c r="G18" s="17"/>
      <c r="H18" s="18"/>
      <c r="I18" s="17"/>
      <c r="J18" s="17"/>
      <c r="K18" s="18"/>
      <c r="L18" s="17"/>
      <c r="M18" s="17"/>
      <c r="N18" s="17"/>
      <c r="O18" s="17"/>
      <c r="P18" s="17"/>
      <c r="Q18" s="17"/>
      <c r="R18" s="17"/>
      <c r="S18" s="17"/>
      <c r="T18" s="19" t="n">
        <f aca="false">IFERROR(ROUND((IF(O18="Severe",4,IF(O18="Moderate",3,IF(O18="Minor",2,0)))+IF(P18="Severe",4,IF(P18="Moderate",3,IF(P18="Minor",2,0)))+IF(Q18="Severe",4,IF(Q18="Moderate",3,IF(Q18="Minor",2,0)))+IF(R18="Severe",4,IF(R18="Moderate",3,IF(R18="Minor",2,0))))/16*100,0),"")</f>
        <v>0</v>
      </c>
      <c r="U18" s="18"/>
      <c r="V18" s="17"/>
      <c r="W18" s="17"/>
      <c r="X18" s="17"/>
      <c r="Y18" s="20" t="n">
        <f aca="false">IFERROR(ROUND(IF(H18&gt;=10,30,IF(H18&gt;=5,20,IF(H18&gt;=2,10,0)))+IF(K18="Yes",20,IF(K18="Unsure",10,0))+IF(U18="Yes",30,IF(U18="Later",15,0))+IFERROR(T18/100*20,0),0),"")</f>
        <v>0</v>
      </c>
      <c r="Z18" s="18" t="str">
        <f aca="false">IFERROR(IF(Y18&gt;=80,"🔥 HOT",IF(Y18&gt;=60,"✅ STRONG",IF(Y18&gt;=40,"⚡ WARM",IF(Y18&gt;=20,"📋 NURTURE",IF(Y18&gt;0,"❌ COLD",""))))),"")</f>
        <v/>
      </c>
      <c r="AA18" s="18" t="str">
        <f aca="false">IFERROR(IF(AND(Y18&gt;=60,OR(U18="Yes",U18="Later")),"🚨 URGENT",IF(AND(Y18&gt;=40,I18="Call Back"),"📞 CALL BACK",IF(I18="Booked Meeting","📅 BOOKED",IF(I18="Not Interested","🚫 DEAD","⏳ WORKING")))),"")</f>
        <v>⏳ WORKING</v>
      </c>
      <c r="AB18" s="21"/>
      <c r="AC18" s="22"/>
      <c r="AD18" s="23" t="str">
        <f aca="true">IFERROR(IF(AC18="","",AC18-TODAY()),"")</f>
        <v/>
      </c>
      <c r="AE18" s="17"/>
    </row>
    <row r="19" customFormat="false" ht="19.5" hidden="false" customHeight="true" outlineLevel="0" collapsed="false">
      <c r="A19" s="10"/>
      <c r="B19" s="10"/>
      <c r="C19" s="10"/>
      <c r="D19" s="10"/>
      <c r="E19" s="10"/>
      <c r="F19" s="10"/>
      <c r="G19" s="10"/>
      <c r="H19" s="11"/>
      <c r="I19" s="10"/>
      <c r="J19" s="10"/>
      <c r="K19" s="11"/>
      <c r="L19" s="10"/>
      <c r="M19" s="10"/>
      <c r="N19" s="10"/>
      <c r="O19" s="10"/>
      <c r="P19" s="10"/>
      <c r="Q19" s="10"/>
      <c r="R19" s="10"/>
      <c r="S19" s="10"/>
      <c r="T19" s="12" t="n">
        <f aca="false">IFERROR(ROUND((IF(O19="Severe",4,IF(O19="Moderate",3,IF(O19="Minor",2,0)))+IF(P19="Severe",4,IF(P19="Moderate",3,IF(P19="Minor",2,0)))+IF(Q19="Severe",4,IF(Q19="Moderate",3,IF(Q19="Minor",2,0)))+IF(R19="Severe",4,IF(R19="Moderate",3,IF(R19="Minor",2,0))))/16*100,0),"")</f>
        <v>0</v>
      </c>
      <c r="U19" s="11"/>
      <c r="V19" s="10"/>
      <c r="W19" s="10"/>
      <c r="X19" s="10"/>
      <c r="Y19" s="13" t="n">
        <f aca="false">IFERROR(ROUND(IF(H19&gt;=10,30,IF(H19&gt;=5,20,IF(H19&gt;=2,10,0)))+IF(K19="Yes",20,IF(K19="Unsure",10,0))+IF(U19="Yes",30,IF(U19="Later",15,0))+IFERROR(T19/100*20,0),0),"")</f>
        <v>0</v>
      </c>
      <c r="Z19" s="11" t="str">
        <f aca="false">IFERROR(IF(Y19&gt;=80,"🔥 HOT",IF(Y19&gt;=60,"✅ STRONG",IF(Y19&gt;=40,"⚡ WARM",IF(Y19&gt;=20,"📋 NURTURE",IF(Y19&gt;0,"❌ COLD",""))))),"")</f>
        <v/>
      </c>
      <c r="AA19" s="11" t="str">
        <f aca="false">IFERROR(IF(AND(Y19&gt;=60,OR(U19="Yes",U19="Later")),"🚨 URGENT",IF(AND(Y19&gt;=40,I19="Call Back"),"📞 CALL BACK",IF(I19="Booked Meeting","📅 BOOKED",IF(I19="Not Interested","🚫 DEAD","⏳ WORKING")))),"")</f>
        <v>⏳ WORKING</v>
      </c>
      <c r="AB19" s="14"/>
      <c r="AC19" s="15"/>
      <c r="AD19" s="16" t="str">
        <f aca="true">IFERROR(IF(AC19="","",AC19-TODAY()),"")</f>
        <v/>
      </c>
      <c r="AE19" s="10"/>
    </row>
    <row r="20" customFormat="false" ht="19.5" hidden="false" customHeight="true" outlineLevel="0" collapsed="false">
      <c r="A20" s="17"/>
      <c r="B20" s="17"/>
      <c r="C20" s="17"/>
      <c r="D20" s="17"/>
      <c r="E20" s="17"/>
      <c r="F20" s="17"/>
      <c r="G20" s="17"/>
      <c r="H20" s="18"/>
      <c r="I20" s="17"/>
      <c r="J20" s="17"/>
      <c r="K20" s="18"/>
      <c r="L20" s="17"/>
      <c r="M20" s="17"/>
      <c r="N20" s="17"/>
      <c r="O20" s="17"/>
      <c r="P20" s="17"/>
      <c r="Q20" s="17"/>
      <c r="R20" s="17"/>
      <c r="S20" s="17"/>
      <c r="T20" s="19" t="n">
        <f aca="false">IFERROR(ROUND((IF(O20="Severe",4,IF(O20="Moderate",3,IF(O20="Minor",2,0)))+IF(P20="Severe",4,IF(P20="Moderate",3,IF(P20="Minor",2,0)))+IF(Q20="Severe",4,IF(Q20="Moderate",3,IF(Q20="Minor",2,0)))+IF(R20="Severe",4,IF(R20="Moderate",3,IF(R20="Minor",2,0))))/16*100,0),"")</f>
        <v>0</v>
      </c>
      <c r="U20" s="18"/>
      <c r="V20" s="17"/>
      <c r="W20" s="17"/>
      <c r="X20" s="17"/>
      <c r="Y20" s="20" t="n">
        <f aca="false">IFERROR(ROUND(IF(H20&gt;=10,30,IF(H20&gt;=5,20,IF(H20&gt;=2,10,0)))+IF(K20="Yes",20,IF(K20="Unsure",10,0))+IF(U20="Yes",30,IF(U20="Later",15,0))+IFERROR(T20/100*20,0),0),"")</f>
        <v>0</v>
      </c>
      <c r="Z20" s="18" t="str">
        <f aca="false">IFERROR(IF(Y20&gt;=80,"🔥 HOT",IF(Y20&gt;=60,"✅ STRONG",IF(Y20&gt;=40,"⚡ WARM",IF(Y20&gt;=20,"📋 NURTURE",IF(Y20&gt;0,"❌ COLD",""))))),"")</f>
        <v/>
      </c>
      <c r="AA20" s="18" t="str">
        <f aca="false">IFERROR(IF(AND(Y20&gt;=60,OR(U20="Yes",U20="Later")),"🚨 URGENT",IF(AND(Y20&gt;=40,I20="Call Back"),"📞 CALL BACK",IF(I20="Booked Meeting","📅 BOOKED",IF(I20="Not Interested","🚫 DEAD","⏳ WORKING")))),"")</f>
        <v>⏳ WORKING</v>
      </c>
      <c r="AB20" s="21"/>
      <c r="AC20" s="22"/>
      <c r="AD20" s="23" t="str">
        <f aca="true">IFERROR(IF(AC20="","",AC20-TODAY()),"")</f>
        <v/>
      </c>
      <c r="AE20" s="17"/>
    </row>
    <row r="21" customFormat="false" ht="19.5" hidden="false" customHeight="true" outlineLevel="0" collapsed="false">
      <c r="A21" s="10"/>
      <c r="B21" s="10"/>
      <c r="C21" s="10"/>
      <c r="D21" s="10"/>
      <c r="E21" s="10"/>
      <c r="F21" s="10"/>
      <c r="G21" s="10"/>
      <c r="H21" s="11"/>
      <c r="I21" s="10"/>
      <c r="J21" s="10"/>
      <c r="K21" s="11"/>
      <c r="L21" s="10"/>
      <c r="M21" s="10"/>
      <c r="N21" s="10"/>
      <c r="O21" s="10"/>
      <c r="P21" s="10"/>
      <c r="Q21" s="10"/>
      <c r="R21" s="10"/>
      <c r="S21" s="10"/>
      <c r="T21" s="12" t="n">
        <f aca="false">IFERROR(ROUND((IF(O21="Severe",4,IF(O21="Moderate",3,IF(O21="Minor",2,0)))+IF(P21="Severe",4,IF(P21="Moderate",3,IF(P21="Minor",2,0)))+IF(Q21="Severe",4,IF(Q21="Moderate",3,IF(Q21="Minor",2,0)))+IF(R21="Severe",4,IF(R21="Moderate",3,IF(R21="Minor",2,0))))/16*100,0),"")</f>
        <v>0</v>
      </c>
      <c r="U21" s="11"/>
      <c r="V21" s="10"/>
      <c r="W21" s="10"/>
      <c r="X21" s="10"/>
      <c r="Y21" s="13" t="n">
        <f aca="false">IFERROR(ROUND(IF(H21&gt;=10,30,IF(H21&gt;=5,20,IF(H21&gt;=2,10,0)))+IF(K21="Yes",20,IF(K21="Unsure",10,0))+IF(U21="Yes",30,IF(U21="Later",15,0))+IFERROR(T21/100*20,0),0),"")</f>
        <v>0</v>
      </c>
      <c r="Z21" s="11" t="str">
        <f aca="false">IFERROR(IF(Y21&gt;=80,"🔥 HOT",IF(Y21&gt;=60,"✅ STRONG",IF(Y21&gt;=40,"⚡ WARM",IF(Y21&gt;=20,"📋 NURTURE",IF(Y21&gt;0,"❌ COLD",""))))),"")</f>
        <v/>
      </c>
      <c r="AA21" s="11" t="str">
        <f aca="false">IFERROR(IF(AND(Y21&gt;=60,OR(U21="Yes",U21="Later")),"🚨 URGENT",IF(AND(Y21&gt;=40,I21="Call Back"),"📞 CALL BACK",IF(I21="Booked Meeting","📅 BOOKED",IF(I21="Not Interested","🚫 DEAD","⏳ WORKING")))),"")</f>
        <v>⏳ WORKING</v>
      </c>
      <c r="AB21" s="14"/>
      <c r="AC21" s="15"/>
      <c r="AD21" s="16" t="str">
        <f aca="true">IFERROR(IF(AC21="","",AC21-TODAY()),"")</f>
        <v/>
      </c>
      <c r="AE21" s="10"/>
    </row>
    <row r="22" customFormat="false" ht="19.5" hidden="false" customHeight="true" outlineLevel="0" collapsed="false">
      <c r="A22" s="17"/>
      <c r="B22" s="17"/>
      <c r="C22" s="17"/>
      <c r="D22" s="17"/>
      <c r="E22" s="17"/>
      <c r="F22" s="17"/>
      <c r="G22" s="17"/>
      <c r="H22" s="18"/>
      <c r="I22" s="17"/>
      <c r="J22" s="17"/>
      <c r="K22" s="18"/>
      <c r="L22" s="17"/>
      <c r="M22" s="17"/>
      <c r="N22" s="17"/>
      <c r="O22" s="17"/>
      <c r="P22" s="17"/>
      <c r="Q22" s="17"/>
      <c r="R22" s="17"/>
      <c r="S22" s="17"/>
      <c r="T22" s="19" t="n">
        <f aca="false">IFERROR(ROUND((IF(O22="Severe",4,IF(O22="Moderate",3,IF(O22="Minor",2,0)))+IF(P22="Severe",4,IF(P22="Moderate",3,IF(P22="Minor",2,0)))+IF(Q22="Severe",4,IF(Q22="Moderate",3,IF(Q22="Minor",2,0)))+IF(R22="Severe",4,IF(R22="Moderate",3,IF(R22="Minor",2,0))))/16*100,0),"")</f>
        <v>0</v>
      </c>
      <c r="U22" s="18"/>
      <c r="V22" s="17"/>
      <c r="W22" s="17"/>
      <c r="X22" s="17"/>
      <c r="Y22" s="20" t="n">
        <f aca="false">IFERROR(ROUND(IF(H22&gt;=10,30,IF(H22&gt;=5,20,IF(H22&gt;=2,10,0)))+IF(K22="Yes",20,IF(K22="Unsure",10,0))+IF(U22="Yes",30,IF(U22="Later",15,0))+IFERROR(T22/100*20,0),0),"")</f>
        <v>0</v>
      </c>
      <c r="Z22" s="18" t="str">
        <f aca="false">IFERROR(IF(Y22&gt;=80,"🔥 HOT",IF(Y22&gt;=60,"✅ STRONG",IF(Y22&gt;=40,"⚡ WARM",IF(Y22&gt;=20,"📋 NURTURE",IF(Y22&gt;0,"❌ COLD",""))))),"")</f>
        <v/>
      </c>
      <c r="AA22" s="18" t="str">
        <f aca="false">IFERROR(IF(AND(Y22&gt;=60,OR(U22="Yes",U22="Later")),"🚨 URGENT",IF(AND(Y22&gt;=40,I22="Call Back"),"📞 CALL BACK",IF(I22="Booked Meeting","📅 BOOKED",IF(I22="Not Interested","🚫 DEAD","⏳ WORKING")))),"")</f>
        <v>⏳ WORKING</v>
      </c>
      <c r="AB22" s="21"/>
      <c r="AC22" s="22"/>
      <c r="AD22" s="23" t="str">
        <f aca="true">IFERROR(IF(AC22="","",AC22-TODAY()),"")</f>
        <v/>
      </c>
      <c r="AE22" s="17"/>
    </row>
    <row r="23" customFormat="false" ht="19.5" hidden="false" customHeight="true" outlineLevel="0" collapsed="false">
      <c r="A23" s="10"/>
      <c r="B23" s="10"/>
      <c r="C23" s="10"/>
      <c r="D23" s="10"/>
      <c r="E23" s="10"/>
      <c r="F23" s="10"/>
      <c r="G23" s="10"/>
      <c r="H23" s="11"/>
      <c r="I23" s="10"/>
      <c r="J23" s="10"/>
      <c r="K23" s="11"/>
      <c r="L23" s="10"/>
      <c r="M23" s="10"/>
      <c r="N23" s="10"/>
      <c r="O23" s="10"/>
      <c r="P23" s="10"/>
      <c r="Q23" s="10"/>
      <c r="R23" s="10"/>
      <c r="S23" s="10"/>
      <c r="T23" s="12" t="n">
        <f aca="false">IFERROR(ROUND((IF(O23="Severe",4,IF(O23="Moderate",3,IF(O23="Minor",2,0)))+IF(P23="Severe",4,IF(P23="Moderate",3,IF(P23="Minor",2,0)))+IF(Q23="Severe",4,IF(Q23="Moderate",3,IF(Q23="Minor",2,0)))+IF(R23="Severe",4,IF(R23="Moderate",3,IF(R23="Minor",2,0))))/16*100,0),"")</f>
        <v>0</v>
      </c>
      <c r="U23" s="11"/>
      <c r="V23" s="10"/>
      <c r="W23" s="10"/>
      <c r="X23" s="10"/>
      <c r="Y23" s="13" t="n">
        <f aca="false">IFERROR(ROUND(IF(H23&gt;=10,30,IF(H23&gt;=5,20,IF(H23&gt;=2,10,0)))+IF(K23="Yes",20,IF(K23="Unsure",10,0))+IF(U23="Yes",30,IF(U23="Later",15,0))+IFERROR(T23/100*20,0),0),"")</f>
        <v>0</v>
      </c>
      <c r="Z23" s="11" t="str">
        <f aca="false">IFERROR(IF(Y23&gt;=80,"🔥 HOT",IF(Y23&gt;=60,"✅ STRONG",IF(Y23&gt;=40,"⚡ WARM",IF(Y23&gt;=20,"📋 NURTURE",IF(Y23&gt;0,"❌ COLD",""))))),"")</f>
        <v/>
      </c>
      <c r="AA23" s="11" t="str">
        <f aca="false">IFERROR(IF(AND(Y23&gt;=60,OR(U23="Yes",U23="Later")),"🚨 URGENT",IF(AND(Y23&gt;=40,I23="Call Back"),"📞 CALL BACK",IF(I23="Booked Meeting","📅 BOOKED",IF(I23="Not Interested","🚫 DEAD","⏳ WORKING")))),"")</f>
        <v>⏳ WORKING</v>
      </c>
      <c r="AB23" s="14"/>
      <c r="AC23" s="15"/>
      <c r="AD23" s="16" t="str">
        <f aca="true">IFERROR(IF(AC23="","",AC23-TODAY()),"")</f>
        <v/>
      </c>
      <c r="AE23" s="10"/>
    </row>
    <row r="24" customFormat="false" ht="19.5" hidden="false" customHeight="true" outlineLevel="0" collapsed="false">
      <c r="A24" s="17"/>
      <c r="B24" s="17"/>
      <c r="C24" s="17"/>
      <c r="D24" s="17"/>
      <c r="E24" s="17"/>
      <c r="F24" s="17"/>
      <c r="G24" s="17"/>
      <c r="H24" s="18"/>
      <c r="I24" s="17"/>
      <c r="J24" s="17"/>
      <c r="K24" s="18"/>
      <c r="L24" s="17"/>
      <c r="M24" s="17"/>
      <c r="N24" s="17"/>
      <c r="O24" s="17"/>
      <c r="P24" s="17"/>
      <c r="Q24" s="17"/>
      <c r="R24" s="17"/>
      <c r="S24" s="17"/>
      <c r="T24" s="19" t="n">
        <f aca="false">IFERROR(ROUND((IF(O24="Severe",4,IF(O24="Moderate",3,IF(O24="Minor",2,0)))+IF(P24="Severe",4,IF(P24="Moderate",3,IF(P24="Minor",2,0)))+IF(Q24="Severe",4,IF(Q24="Moderate",3,IF(Q24="Minor",2,0)))+IF(R24="Severe",4,IF(R24="Moderate",3,IF(R24="Minor",2,0))))/16*100,0),"")</f>
        <v>0</v>
      </c>
      <c r="U24" s="18"/>
      <c r="V24" s="17"/>
      <c r="W24" s="17"/>
      <c r="X24" s="17"/>
      <c r="Y24" s="20" t="n">
        <f aca="false">IFERROR(ROUND(IF(H24&gt;=10,30,IF(H24&gt;=5,20,IF(H24&gt;=2,10,0)))+IF(K24="Yes",20,IF(K24="Unsure",10,0))+IF(U24="Yes",30,IF(U24="Later",15,0))+IFERROR(T24/100*20,0),0),"")</f>
        <v>0</v>
      </c>
      <c r="Z24" s="18" t="str">
        <f aca="false">IFERROR(IF(Y24&gt;=80,"🔥 HOT",IF(Y24&gt;=60,"✅ STRONG",IF(Y24&gt;=40,"⚡ WARM",IF(Y24&gt;=20,"📋 NURTURE",IF(Y24&gt;0,"❌ COLD",""))))),"")</f>
        <v/>
      </c>
      <c r="AA24" s="18" t="str">
        <f aca="false">IFERROR(IF(AND(Y24&gt;=60,OR(U24="Yes",U24="Later")),"🚨 URGENT",IF(AND(Y24&gt;=40,I24="Call Back"),"📞 CALL BACK",IF(I24="Booked Meeting","📅 BOOKED",IF(I24="Not Interested","🚫 DEAD","⏳ WORKING")))),"")</f>
        <v>⏳ WORKING</v>
      </c>
      <c r="AB24" s="21"/>
      <c r="AC24" s="22"/>
      <c r="AD24" s="23" t="str">
        <f aca="true">IFERROR(IF(AC24="","",AC24-TODAY()),"")</f>
        <v/>
      </c>
      <c r="AE24" s="17"/>
    </row>
    <row r="25" customFormat="false" ht="19.5" hidden="false" customHeight="true" outlineLevel="0" collapsed="false">
      <c r="A25" s="10"/>
      <c r="B25" s="10"/>
      <c r="C25" s="10"/>
      <c r="D25" s="10"/>
      <c r="E25" s="10"/>
      <c r="F25" s="10"/>
      <c r="G25" s="10"/>
      <c r="H25" s="11"/>
      <c r="I25" s="10"/>
      <c r="J25" s="10"/>
      <c r="K25" s="11"/>
      <c r="L25" s="10"/>
      <c r="M25" s="10"/>
      <c r="N25" s="10"/>
      <c r="O25" s="10"/>
      <c r="P25" s="10"/>
      <c r="Q25" s="10"/>
      <c r="R25" s="10"/>
      <c r="S25" s="10"/>
      <c r="T25" s="12" t="n">
        <f aca="false">IFERROR(ROUND((IF(O25="Severe",4,IF(O25="Moderate",3,IF(O25="Minor",2,0)))+IF(P25="Severe",4,IF(P25="Moderate",3,IF(P25="Minor",2,0)))+IF(Q25="Severe",4,IF(Q25="Moderate",3,IF(Q25="Minor",2,0)))+IF(R25="Severe",4,IF(R25="Moderate",3,IF(R25="Minor",2,0))))/16*100,0),"")</f>
        <v>0</v>
      </c>
      <c r="U25" s="11"/>
      <c r="V25" s="10"/>
      <c r="W25" s="10"/>
      <c r="X25" s="10"/>
      <c r="Y25" s="13" t="n">
        <f aca="false">IFERROR(ROUND(IF(H25&gt;=10,30,IF(H25&gt;=5,20,IF(H25&gt;=2,10,0)))+IF(K25="Yes",20,IF(K25="Unsure",10,0))+IF(U25="Yes",30,IF(U25="Later",15,0))+IFERROR(T25/100*20,0),0),"")</f>
        <v>0</v>
      </c>
      <c r="Z25" s="11" t="str">
        <f aca="false">IFERROR(IF(Y25&gt;=80,"🔥 HOT",IF(Y25&gt;=60,"✅ STRONG",IF(Y25&gt;=40,"⚡ WARM",IF(Y25&gt;=20,"📋 NURTURE",IF(Y25&gt;0,"❌ COLD",""))))),"")</f>
        <v/>
      </c>
      <c r="AA25" s="11" t="str">
        <f aca="false">IFERROR(IF(AND(Y25&gt;=60,OR(U25="Yes",U25="Later")),"🚨 URGENT",IF(AND(Y25&gt;=40,I25="Call Back"),"📞 CALL BACK",IF(I25="Booked Meeting","📅 BOOKED",IF(I25="Not Interested","🚫 DEAD","⏳ WORKING")))),"")</f>
        <v>⏳ WORKING</v>
      </c>
      <c r="AB25" s="14"/>
      <c r="AC25" s="15"/>
      <c r="AD25" s="16" t="str">
        <f aca="true">IFERROR(IF(AC25="","",AC25-TODAY()),"")</f>
        <v/>
      </c>
      <c r="AE25" s="10"/>
    </row>
    <row r="26" customFormat="false" ht="19.5" hidden="false" customHeight="true" outlineLevel="0" collapsed="false">
      <c r="A26" s="17"/>
      <c r="B26" s="17"/>
      <c r="C26" s="17"/>
      <c r="D26" s="17"/>
      <c r="E26" s="17"/>
      <c r="F26" s="17"/>
      <c r="G26" s="17"/>
      <c r="H26" s="18"/>
      <c r="I26" s="17"/>
      <c r="J26" s="17"/>
      <c r="K26" s="18"/>
      <c r="L26" s="17"/>
      <c r="M26" s="17"/>
      <c r="N26" s="17"/>
      <c r="O26" s="17"/>
      <c r="P26" s="17"/>
      <c r="Q26" s="17"/>
      <c r="R26" s="17"/>
      <c r="S26" s="17"/>
      <c r="T26" s="19" t="n">
        <f aca="false">IFERROR(ROUND((IF(O26="Severe",4,IF(O26="Moderate",3,IF(O26="Minor",2,0)))+IF(P26="Severe",4,IF(P26="Moderate",3,IF(P26="Minor",2,0)))+IF(Q26="Severe",4,IF(Q26="Moderate",3,IF(Q26="Minor",2,0)))+IF(R26="Severe",4,IF(R26="Moderate",3,IF(R26="Minor",2,0))))/16*100,0),"")</f>
        <v>0</v>
      </c>
      <c r="U26" s="18"/>
      <c r="V26" s="17"/>
      <c r="W26" s="17"/>
      <c r="X26" s="17"/>
      <c r="Y26" s="20" t="n">
        <f aca="false">IFERROR(ROUND(IF(H26&gt;=10,30,IF(H26&gt;=5,20,IF(H26&gt;=2,10,0)))+IF(K26="Yes",20,IF(K26="Unsure",10,0))+IF(U26="Yes",30,IF(U26="Later",15,0))+IFERROR(T26/100*20,0),0),"")</f>
        <v>0</v>
      </c>
      <c r="Z26" s="18" t="str">
        <f aca="false">IFERROR(IF(Y26&gt;=80,"🔥 HOT",IF(Y26&gt;=60,"✅ STRONG",IF(Y26&gt;=40,"⚡ WARM",IF(Y26&gt;=20,"📋 NURTURE",IF(Y26&gt;0,"❌ COLD",""))))),"")</f>
        <v/>
      </c>
      <c r="AA26" s="18" t="str">
        <f aca="false">IFERROR(IF(AND(Y26&gt;=60,OR(U26="Yes",U26="Later")),"🚨 URGENT",IF(AND(Y26&gt;=40,I26="Call Back"),"📞 CALL BACK",IF(I26="Booked Meeting","📅 BOOKED",IF(I26="Not Interested","🚫 DEAD","⏳ WORKING")))),"")</f>
        <v>⏳ WORKING</v>
      </c>
      <c r="AB26" s="21"/>
      <c r="AC26" s="22"/>
      <c r="AD26" s="23" t="str">
        <f aca="true">IFERROR(IF(AC26="","",AC26-TODAY()),"")</f>
        <v/>
      </c>
      <c r="AE26" s="17"/>
    </row>
    <row r="27" customFormat="false" ht="19.5" hidden="false" customHeight="true" outlineLevel="0" collapsed="false">
      <c r="A27" s="10"/>
      <c r="B27" s="10"/>
      <c r="C27" s="10"/>
      <c r="D27" s="10"/>
      <c r="E27" s="10"/>
      <c r="F27" s="10"/>
      <c r="G27" s="10"/>
      <c r="H27" s="11"/>
      <c r="I27" s="10"/>
      <c r="J27" s="10"/>
      <c r="K27" s="11"/>
      <c r="L27" s="10"/>
      <c r="M27" s="10"/>
      <c r="N27" s="10"/>
      <c r="O27" s="10"/>
      <c r="P27" s="10"/>
      <c r="Q27" s="10"/>
      <c r="R27" s="10"/>
      <c r="S27" s="10"/>
      <c r="T27" s="12" t="n">
        <f aca="false">IFERROR(ROUND((IF(O27="Severe",4,IF(O27="Moderate",3,IF(O27="Minor",2,0)))+IF(P27="Severe",4,IF(P27="Moderate",3,IF(P27="Minor",2,0)))+IF(Q27="Severe",4,IF(Q27="Moderate",3,IF(Q27="Minor",2,0)))+IF(R27="Severe",4,IF(R27="Moderate",3,IF(R27="Minor",2,0))))/16*100,0),"")</f>
        <v>0</v>
      </c>
      <c r="U27" s="11"/>
      <c r="V27" s="10"/>
      <c r="W27" s="10"/>
      <c r="X27" s="10"/>
      <c r="Y27" s="13" t="n">
        <f aca="false">IFERROR(ROUND(IF(H27&gt;=10,30,IF(H27&gt;=5,20,IF(H27&gt;=2,10,0)))+IF(K27="Yes",20,IF(K27="Unsure",10,0))+IF(U27="Yes",30,IF(U27="Later",15,0))+IFERROR(T27/100*20,0),0),"")</f>
        <v>0</v>
      </c>
      <c r="Z27" s="11" t="str">
        <f aca="false">IFERROR(IF(Y27&gt;=80,"🔥 HOT",IF(Y27&gt;=60,"✅ STRONG",IF(Y27&gt;=40,"⚡ WARM",IF(Y27&gt;=20,"📋 NURTURE",IF(Y27&gt;0,"❌ COLD",""))))),"")</f>
        <v/>
      </c>
      <c r="AA27" s="11" t="str">
        <f aca="false">IFERROR(IF(AND(Y27&gt;=60,OR(U27="Yes",U27="Later")),"🚨 URGENT",IF(AND(Y27&gt;=40,I27="Call Back"),"📞 CALL BACK",IF(I27="Booked Meeting","📅 BOOKED",IF(I27="Not Interested","🚫 DEAD","⏳ WORKING")))),"")</f>
        <v>⏳ WORKING</v>
      </c>
      <c r="AB27" s="14"/>
      <c r="AC27" s="15"/>
      <c r="AD27" s="16" t="str">
        <f aca="true">IFERROR(IF(AC27="","",AC27-TODAY()),"")</f>
        <v/>
      </c>
      <c r="AE27" s="10"/>
    </row>
    <row r="28" customFormat="false" ht="19.5" hidden="false" customHeight="true" outlineLevel="0" collapsed="false">
      <c r="A28" s="17"/>
      <c r="B28" s="17"/>
      <c r="C28" s="17"/>
      <c r="D28" s="17"/>
      <c r="E28" s="17"/>
      <c r="F28" s="17"/>
      <c r="G28" s="17"/>
      <c r="H28" s="18"/>
      <c r="I28" s="17"/>
      <c r="J28" s="17"/>
      <c r="K28" s="18"/>
      <c r="L28" s="17"/>
      <c r="M28" s="17"/>
      <c r="N28" s="17"/>
      <c r="O28" s="17"/>
      <c r="P28" s="17"/>
      <c r="Q28" s="17"/>
      <c r="R28" s="17"/>
      <c r="S28" s="17"/>
      <c r="T28" s="19" t="n">
        <f aca="false">IFERROR(ROUND((IF(O28="Severe",4,IF(O28="Moderate",3,IF(O28="Minor",2,0)))+IF(P28="Severe",4,IF(P28="Moderate",3,IF(P28="Minor",2,0)))+IF(Q28="Severe",4,IF(Q28="Moderate",3,IF(Q28="Minor",2,0)))+IF(R28="Severe",4,IF(R28="Moderate",3,IF(R28="Minor",2,0))))/16*100,0),"")</f>
        <v>0</v>
      </c>
      <c r="U28" s="18"/>
      <c r="V28" s="17"/>
      <c r="W28" s="17"/>
      <c r="X28" s="17"/>
      <c r="Y28" s="20" t="n">
        <f aca="false">IFERROR(ROUND(IF(H28&gt;=10,30,IF(H28&gt;=5,20,IF(H28&gt;=2,10,0)))+IF(K28="Yes",20,IF(K28="Unsure",10,0))+IF(U28="Yes",30,IF(U28="Later",15,0))+IFERROR(T28/100*20,0),0),"")</f>
        <v>0</v>
      </c>
      <c r="Z28" s="18" t="str">
        <f aca="false">IFERROR(IF(Y28&gt;=80,"🔥 HOT",IF(Y28&gt;=60,"✅ STRONG",IF(Y28&gt;=40,"⚡ WARM",IF(Y28&gt;=20,"📋 NURTURE",IF(Y28&gt;0,"❌ COLD",""))))),"")</f>
        <v/>
      </c>
      <c r="AA28" s="18" t="str">
        <f aca="false">IFERROR(IF(AND(Y28&gt;=60,OR(U28="Yes",U28="Later")),"🚨 URGENT",IF(AND(Y28&gt;=40,I28="Call Back"),"📞 CALL BACK",IF(I28="Booked Meeting","📅 BOOKED",IF(I28="Not Interested","🚫 DEAD","⏳ WORKING")))),"")</f>
        <v>⏳ WORKING</v>
      </c>
      <c r="AB28" s="21"/>
      <c r="AC28" s="22"/>
      <c r="AD28" s="23" t="str">
        <f aca="true">IFERROR(IF(AC28="","",AC28-TODAY()),"")</f>
        <v/>
      </c>
      <c r="AE28" s="17"/>
    </row>
    <row r="29" customFormat="false" ht="19.5" hidden="false" customHeight="true" outlineLevel="0" collapsed="false">
      <c r="A29" s="10"/>
      <c r="B29" s="10"/>
      <c r="C29" s="10"/>
      <c r="D29" s="10"/>
      <c r="E29" s="10"/>
      <c r="F29" s="10"/>
      <c r="G29" s="10"/>
      <c r="H29" s="11"/>
      <c r="I29" s="10"/>
      <c r="J29" s="10"/>
      <c r="K29" s="11"/>
      <c r="L29" s="10"/>
      <c r="M29" s="10"/>
      <c r="N29" s="10"/>
      <c r="O29" s="10"/>
      <c r="P29" s="10"/>
      <c r="Q29" s="10"/>
      <c r="R29" s="10"/>
      <c r="S29" s="10"/>
      <c r="T29" s="12" t="n">
        <f aca="false">IFERROR(ROUND((IF(O29="Severe",4,IF(O29="Moderate",3,IF(O29="Minor",2,0)))+IF(P29="Severe",4,IF(P29="Moderate",3,IF(P29="Minor",2,0)))+IF(Q29="Severe",4,IF(Q29="Moderate",3,IF(Q29="Minor",2,0)))+IF(R29="Severe",4,IF(R29="Moderate",3,IF(R29="Minor",2,0))))/16*100,0),"")</f>
        <v>0</v>
      </c>
      <c r="U29" s="11"/>
      <c r="V29" s="10"/>
      <c r="W29" s="10"/>
      <c r="X29" s="10"/>
      <c r="Y29" s="13" t="n">
        <f aca="false">IFERROR(ROUND(IF(H29&gt;=10,30,IF(H29&gt;=5,20,IF(H29&gt;=2,10,0)))+IF(K29="Yes",20,IF(K29="Unsure",10,0))+IF(U29="Yes",30,IF(U29="Later",15,0))+IFERROR(T29/100*20,0),0),"")</f>
        <v>0</v>
      </c>
      <c r="Z29" s="11" t="str">
        <f aca="false">IFERROR(IF(Y29&gt;=80,"🔥 HOT",IF(Y29&gt;=60,"✅ STRONG",IF(Y29&gt;=40,"⚡ WARM",IF(Y29&gt;=20,"📋 NURTURE",IF(Y29&gt;0,"❌ COLD",""))))),"")</f>
        <v/>
      </c>
      <c r="AA29" s="11" t="str">
        <f aca="false">IFERROR(IF(AND(Y29&gt;=60,OR(U29="Yes",U29="Later")),"🚨 URGENT",IF(AND(Y29&gt;=40,I29="Call Back"),"📞 CALL BACK",IF(I29="Booked Meeting","📅 BOOKED",IF(I29="Not Interested","🚫 DEAD","⏳ WORKING")))),"")</f>
        <v>⏳ WORKING</v>
      </c>
      <c r="AB29" s="14"/>
      <c r="AC29" s="15"/>
      <c r="AD29" s="16" t="str">
        <f aca="true">IFERROR(IF(AC29="","",AC29-TODAY()),"")</f>
        <v/>
      </c>
      <c r="AE29" s="10"/>
    </row>
    <row r="30" customFormat="false" ht="19.5" hidden="false" customHeight="true" outlineLevel="0" collapsed="false">
      <c r="A30" s="17"/>
      <c r="B30" s="17"/>
      <c r="C30" s="17"/>
      <c r="D30" s="17"/>
      <c r="E30" s="17"/>
      <c r="F30" s="17"/>
      <c r="G30" s="17"/>
      <c r="H30" s="18"/>
      <c r="I30" s="17"/>
      <c r="J30" s="17"/>
      <c r="K30" s="18"/>
      <c r="L30" s="17"/>
      <c r="M30" s="17"/>
      <c r="N30" s="17"/>
      <c r="O30" s="17"/>
      <c r="P30" s="17"/>
      <c r="Q30" s="17"/>
      <c r="R30" s="17"/>
      <c r="S30" s="17"/>
      <c r="T30" s="19" t="n">
        <f aca="false">IFERROR(ROUND((IF(O30="Severe",4,IF(O30="Moderate",3,IF(O30="Minor",2,0)))+IF(P30="Severe",4,IF(P30="Moderate",3,IF(P30="Minor",2,0)))+IF(Q30="Severe",4,IF(Q30="Moderate",3,IF(Q30="Minor",2,0)))+IF(R30="Severe",4,IF(R30="Moderate",3,IF(R30="Minor",2,0))))/16*100,0),"")</f>
        <v>0</v>
      </c>
      <c r="U30" s="18"/>
      <c r="V30" s="17"/>
      <c r="W30" s="17"/>
      <c r="X30" s="17"/>
      <c r="Y30" s="20" t="n">
        <f aca="false">IFERROR(ROUND(IF(H30&gt;=10,30,IF(H30&gt;=5,20,IF(H30&gt;=2,10,0)))+IF(K30="Yes",20,IF(K30="Unsure",10,0))+IF(U30="Yes",30,IF(U30="Later",15,0))+IFERROR(T30/100*20,0),0),"")</f>
        <v>0</v>
      </c>
      <c r="Z30" s="18" t="str">
        <f aca="false">IFERROR(IF(Y30&gt;=80,"🔥 HOT",IF(Y30&gt;=60,"✅ STRONG",IF(Y30&gt;=40,"⚡ WARM",IF(Y30&gt;=20,"📋 NURTURE",IF(Y30&gt;0,"❌ COLD",""))))),"")</f>
        <v/>
      </c>
      <c r="AA30" s="18" t="str">
        <f aca="false">IFERROR(IF(AND(Y30&gt;=60,OR(U30="Yes",U30="Later")),"🚨 URGENT",IF(AND(Y30&gt;=40,I30="Call Back"),"📞 CALL BACK",IF(I30="Booked Meeting","📅 BOOKED",IF(I30="Not Interested","🚫 DEAD","⏳ WORKING")))),"")</f>
        <v>⏳ WORKING</v>
      </c>
      <c r="AB30" s="21"/>
      <c r="AC30" s="22"/>
      <c r="AD30" s="23" t="str">
        <f aca="true">IFERROR(IF(AC30="","",AC30-TODAY()),"")</f>
        <v/>
      </c>
      <c r="AE30" s="17"/>
    </row>
    <row r="31" customFormat="false" ht="19.5" hidden="false" customHeight="true" outlineLevel="0" collapsed="false">
      <c r="A31" s="10"/>
      <c r="B31" s="10"/>
      <c r="C31" s="10"/>
      <c r="D31" s="10"/>
      <c r="E31" s="10"/>
      <c r="F31" s="10"/>
      <c r="G31" s="10"/>
      <c r="H31" s="11"/>
      <c r="I31" s="10"/>
      <c r="J31" s="10"/>
      <c r="K31" s="11"/>
      <c r="L31" s="10"/>
      <c r="M31" s="10"/>
      <c r="N31" s="10"/>
      <c r="O31" s="10"/>
      <c r="P31" s="10"/>
      <c r="Q31" s="10"/>
      <c r="R31" s="10"/>
      <c r="S31" s="10"/>
      <c r="T31" s="12" t="n">
        <f aca="false">IFERROR(ROUND((IF(O31="Severe",4,IF(O31="Moderate",3,IF(O31="Minor",2,0)))+IF(P31="Severe",4,IF(P31="Moderate",3,IF(P31="Minor",2,0)))+IF(Q31="Severe",4,IF(Q31="Moderate",3,IF(Q31="Minor",2,0)))+IF(R31="Severe",4,IF(R31="Moderate",3,IF(R31="Minor",2,0))))/16*100,0),"")</f>
        <v>0</v>
      </c>
      <c r="U31" s="11"/>
      <c r="V31" s="10"/>
      <c r="W31" s="10"/>
      <c r="X31" s="10"/>
      <c r="Y31" s="13" t="n">
        <f aca="false">IFERROR(ROUND(IF(H31&gt;=10,30,IF(H31&gt;=5,20,IF(H31&gt;=2,10,0)))+IF(K31="Yes",20,IF(K31="Unsure",10,0))+IF(U31="Yes",30,IF(U31="Later",15,0))+IFERROR(T31/100*20,0),0),"")</f>
        <v>0</v>
      </c>
      <c r="Z31" s="11" t="str">
        <f aca="false">IFERROR(IF(Y31&gt;=80,"🔥 HOT",IF(Y31&gt;=60,"✅ STRONG",IF(Y31&gt;=40,"⚡ WARM",IF(Y31&gt;=20,"📋 NURTURE",IF(Y31&gt;0,"❌ COLD",""))))),"")</f>
        <v/>
      </c>
      <c r="AA31" s="11" t="str">
        <f aca="false">IFERROR(IF(AND(Y31&gt;=60,OR(U31="Yes",U31="Later")),"🚨 URGENT",IF(AND(Y31&gt;=40,I31="Call Back"),"📞 CALL BACK",IF(I31="Booked Meeting","📅 BOOKED",IF(I31="Not Interested","🚫 DEAD","⏳ WORKING")))),"")</f>
        <v>⏳ WORKING</v>
      </c>
      <c r="AB31" s="14"/>
      <c r="AC31" s="15"/>
      <c r="AD31" s="16" t="str">
        <f aca="true">IFERROR(IF(AC31="","",AC31-TODAY()),"")</f>
        <v/>
      </c>
      <c r="AE31" s="10"/>
    </row>
    <row r="32" customFormat="false" ht="19.5" hidden="false" customHeight="true" outlineLevel="0" collapsed="false">
      <c r="A32" s="17"/>
      <c r="B32" s="17"/>
      <c r="C32" s="17"/>
      <c r="D32" s="17"/>
      <c r="E32" s="17"/>
      <c r="F32" s="17"/>
      <c r="G32" s="17"/>
      <c r="H32" s="18"/>
      <c r="I32" s="17"/>
      <c r="J32" s="17"/>
      <c r="K32" s="18"/>
      <c r="L32" s="17"/>
      <c r="M32" s="17"/>
      <c r="N32" s="17"/>
      <c r="O32" s="17"/>
      <c r="P32" s="17"/>
      <c r="Q32" s="17"/>
      <c r="R32" s="17"/>
      <c r="S32" s="17"/>
      <c r="T32" s="19" t="n">
        <f aca="false">IFERROR(ROUND((IF(O32="Severe",4,IF(O32="Moderate",3,IF(O32="Minor",2,0)))+IF(P32="Severe",4,IF(P32="Moderate",3,IF(P32="Minor",2,0)))+IF(Q32="Severe",4,IF(Q32="Moderate",3,IF(Q32="Minor",2,0)))+IF(R32="Severe",4,IF(R32="Moderate",3,IF(R32="Minor",2,0))))/16*100,0),"")</f>
        <v>0</v>
      </c>
      <c r="U32" s="18"/>
      <c r="V32" s="17"/>
      <c r="W32" s="17"/>
      <c r="X32" s="17"/>
      <c r="Y32" s="20" t="n">
        <f aca="false">IFERROR(ROUND(IF(H32&gt;=10,30,IF(H32&gt;=5,20,IF(H32&gt;=2,10,0)))+IF(K32="Yes",20,IF(K32="Unsure",10,0))+IF(U32="Yes",30,IF(U32="Later",15,0))+IFERROR(T32/100*20,0),0),"")</f>
        <v>0</v>
      </c>
      <c r="Z32" s="18" t="str">
        <f aca="false">IFERROR(IF(Y32&gt;=80,"🔥 HOT",IF(Y32&gt;=60,"✅ STRONG",IF(Y32&gt;=40,"⚡ WARM",IF(Y32&gt;=20,"📋 NURTURE",IF(Y32&gt;0,"❌ COLD",""))))),"")</f>
        <v/>
      </c>
      <c r="AA32" s="18" t="str">
        <f aca="false">IFERROR(IF(AND(Y32&gt;=60,OR(U32="Yes",U32="Later")),"🚨 URGENT",IF(AND(Y32&gt;=40,I32="Call Back"),"📞 CALL BACK",IF(I32="Booked Meeting","📅 BOOKED",IF(I32="Not Interested","🚫 DEAD","⏳ WORKING")))),"")</f>
        <v>⏳ WORKING</v>
      </c>
      <c r="AB32" s="21"/>
      <c r="AC32" s="22"/>
      <c r="AD32" s="23" t="str">
        <f aca="true">IFERROR(IF(AC32="","",AC32-TODAY()),"")</f>
        <v/>
      </c>
      <c r="AE32" s="17"/>
    </row>
    <row r="33" customFormat="false" ht="19.5" hidden="false" customHeight="true" outlineLevel="0" collapsed="false">
      <c r="A33" s="10"/>
      <c r="B33" s="10"/>
      <c r="C33" s="10"/>
      <c r="D33" s="10"/>
      <c r="E33" s="10"/>
      <c r="F33" s="10"/>
      <c r="G33" s="10"/>
      <c r="H33" s="11"/>
      <c r="I33" s="10"/>
      <c r="J33" s="10"/>
      <c r="K33" s="11"/>
      <c r="L33" s="10"/>
      <c r="M33" s="10"/>
      <c r="N33" s="10"/>
      <c r="O33" s="10"/>
      <c r="P33" s="10"/>
      <c r="Q33" s="10"/>
      <c r="R33" s="10"/>
      <c r="S33" s="10"/>
      <c r="T33" s="12" t="n">
        <f aca="false">IFERROR(ROUND((IF(O33="Severe",4,IF(O33="Moderate",3,IF(O33="Minor",2,0)))+IF(P33="Severe",4,IF(P33="Moderate",3,IF(P33="Minor",2,0)))+IF(Q33="Severe",4,IF(Q33="Moderate",3,IF(Q33="Minor",2,0)))+IF(R33="Severe",4,IF(R33="Moderate",3,IF(R33="Minor",2,0))))/16*100,0),"")</f>
        <v>0</v>
      </c>
      <c r="U33" s="11"/>
      <c r="V33" s="10"/>
      <c r="W33" s="10"/>
      <c r="X33" s="10"/>
      <c r="Y33" s="13" t="n">
        <f aca="false">IFERROR(ROUND(IF(H33&gt;=10,30,IF(H33&gt;=5,20,IF(H33&gt;=2,10,0)))+IF(K33="Yes",20,IF(K33="Unsure",10,0))+IF(U33="Yes",30,IF(U33="Later",15,0))+IFERROR(T33/100*20,0),0),"")</f>
        <v>0</v>
      </c>
      <c r="Z33" s="11" t="str">
        <f aca="false">IFERROR(IF(Y33&gt;=80,"🔥 HOT",IF(Y33&gt;=60,"✅ STRONG",IF(Y33&gt;=40,"⚡ WARM",IF(Y33&gt;=20,"📋 NURTURE",IF(Y33&gt;0,"❌ COLD",""))))),"")</f>
        <v/>
      </c>
      <c r="AA33" s="11" t="str">
        <f aca="false">IFERROR(IF(AND(Y33&gt;=60,OR(U33="Yes",U33="Later")),"🚨 URGENT",IF(AND(Y33&gt;=40,I33="Call Back"),"📞 CALL BACK",IF(I33="Booked Meeting","📅 BOOKED",IF(I33="Not Interested","🚫 DEAD","⏳ WORKING")))),"")</f>
        <v>⏳ WORKING</v>
      </c>
      <c r="AB33" s="14"/>
      <c r="AC33" s="15"/>
      <c r="AD33" s="16" t="str">
        <f aca="true">IFERROR(IF(AC33="","",AC33-TODAY()),"")</f>
        <v/>
      </c>
      <c r="AE33" s="10"/>
    </row>
    <row r="34" customFormat="false" ht="19.5" hidden="false" customHeight="true" outlineLevel="0" collapsed="false">
      <c r="A34" s="17"/>
      <c r="B34" s="17"/>
      <c r="C34" s="17"/>
      <c r="D34" s="17"/>
      <c r="E34" s="17"/>
      <c r="F34" s="17"/>
      <c r="G34" s="17"/>
      <c r="H34" s="18"/>
      <c r="I34" s="17"/>
      <c r="J34" s="17"/>
      <c r="K34" s="18"/>
      <c r="L34" s="17"/>
      <c r="M34" s="17"/>
      <c r="N34" s="17"/>
      <c r="O34" s="17"/>
      <c r="P34" s="17"/>
      <c r="Q34" s="17"/>
      <c r="R34" s="17"/>
      <c r="S34" s="17"/>
      <c r="T34" s="19" t="n">
        <f aca="false">IFERROR(ROUND((IF(O34="Severe",4,IF(O34="Moderate",3,IF(O34="Minor",2,0)))+IF(P34="Severe",4,IF(P34="Moderate",3,IF(P34="Minor",2,0)))+IF(Q34="Severe",4,IF(Q34="Moderate",3,IF(Q34="Minor",2,0)))+IF(R34="Severe",4,IF(R34="Moderate",3,IF(R34="Minor",2,0))))/16*100,0),"")</f>
        <v>0</v>
      </c>
      <c r="U34" s="18"/>
      <c r="V34" s="17"/>
      <c r="W34" s="17"/>
      <c r="X34" s="17"/>
      <c r="Y34" s="20" t="n">
        <f aca="false">IFERROR(ROUND(IF(H34&gt;=10,30,IF(H34&gt;=5,20,IF(H34&gt;=2,10,0)))+IF(K34="Yes",20,IF(K34="Unsure",10,0))+IF(U34="Yes",30,IF(U34="Later",15,0))+IFERROR(T34/100*20,0),0),"")</f>
        <v>0</v>
      </c>
      <c r="Z34" s="18" t="str">
        <f aca="false">IFERROR(IF(Y34&gt;=80,"🔥 HOT",IF(Y34&gt;=60,"✅ STRONG",IF(Y34&gt;=40,"⚡ WARM",IF(Y34&gt;=20,"📋 NURTURE",IF(Y34&gt;0,"❌ COLD",""))))),"")</f>
        <v/>
      </c>
      <c r="AA34" s="18" t="str">
        <f aca="false">IFERROR(IF(AND(Y34&gt;=60,OR(U34="Yes",U34="Later")),"🚨 URGENT",IF(AND(Y34&gt;=40,I34="Call Back"),"📞 CALL BACK",IF(I34="Booked Meeting","📅 BOOKED",IF(I34="Not Interested","🚫 DEAD","⏳ WORKING")))),"")</f>
        <v>⏳ WORKING</v>
      </c>
      <c r="AB34" s="21"/>
      <c r="AC34" s="22"/>
      <c r="AD34" s="23" t="str">
        <f aca="true">IFERROR(IF(AC34="","",AC34-TODAY()),"")</f>
        <v/>
      </c>
      <c r="AE34" s="17"/>
    </row>
    <row r="35" customFormat="false" ht="19.5" hidden="false" customHeight="true" outlineLevel="0" collapsed="false">
      <c r="A35" s="10"/>
      <c r="B35" s="10"/>
      <c r="C35" s="10"/>
      <c r="D35" s="10"/>
      <c r="E35" s="10"/>
      <c r="F35" s="10"/>
      <c r="G35" s="10"/>
      <c r="H35" s="11"/>
      <c r="I35" s="10"/>
      <c r="J35" s="10"/>
      <c r="K35" s="11"/>
      <c r="L35" s="10"/>
      <c r="M35" s="10"/>
      <c r="N35" s="10"/>
      <c r="O35" s="10"/>
      <c r="P35" s="10"/>
      <c r="Q35" s="10"/>
      <c r="R35" s="10"/>
      <c r="S35" s="10"/>
      <c r="T35" s="12" t="n">
        <f aca="false">IFERROR(ROUND((IF(O35="Severe",4,IF(O35="Moderate",3,IF(O35="Minor",2,0)))+IF(P35="Severe",4,IF(P35="Moderate",3,IF(P35="Minor",2,0)))+IF(Q35="Severe",4,IF(Q35="Moderate",3,IF(Q35="Minor",2,0)))+IF(R35="Severe",4,IF(R35="Moderate",3,IF(R35="Minor",2,0))))/16*100,0),"")</f>
        <v>0</v>
      </c>
      <c r="U35" s="11"/>
      <c r="V35" s="10"/>
      <c r="W35" s="10"/>
      <c r="X35" s="10"/>
      <c r="Y35" s="13" t="n">
        <f aca="false">IFERROR(ROUND(IF(H35&gt;=10,30,IF(H35&gt;=5,20,IF(H35&gt;=2,10,0)))+IF(K35="Yes",20,IF(K35="Unsure",10,0))+IF(U35="Yes",30,IF(U35="Later",15,0))+IFERROR(T35/100*20,0),0),"")</f>
        <v>0</v>
      </c>
      <c r="Z35" s="11" t="str">
        <f aca="false">IFERROR(IF(Y35&gt;=80,"🔥 HOT",IF(Y35&gt;=60,"✅ STRONG",IF(Y35&gt;=40,"⚡ WARM",IF(Y35&gt;=20,"📋 NURTURE",IF(Y35&gt;0,"❌ COLD",""))))),"")</f>
        <v/>
      </c>
      <c r="AA35" s="11" t="str">
        <f aca="false">IFERROR(IF(AND(Y35&gt;=60,OR(U35="Yes",U35="Later")),"🚨 URGENT",IF(AND(Y35&gt;=40,I35="Call Back"),"📞 CALL BACK",IF(I35="Booked Meeting","📅 BOOKED",IF(I35="Not Interested","🚫 DEAD","⏳ WORKING")))),"")</f>
        <v>⏳ WORKING</v>
      </c>
      <c r="AB35" s="14"/>
      <c r="AC35" s="15"/>
      <c r="AD35" s="16" t="str">
        <f aca="true">IFERROR(IF(AC35="","",AC35-TODAY()),"")</f>
        <v/>
      </c>
      <c r="AE35" s="10"/>
    </row>
    <row r="36" customFormat="false" ht="19.5" hidden="false" customHeight="true" outlineLevel="0" collapsed="false">
      <c r="A36" s="17"/>
      <c r="B36" s="17"/>
      <c r="C36" s="17"/>
      <c r="D36" s="17"/>
      <c r="E36" s="17"/>
      <c r="F36" s="17"/>
      <c r="G36" s="17"/>
      <c r="H36" s="18"/>
      <c r="I36" s="17"/>
      <c r="J36" s="17"/>
      <c r="K36" s="18"/>
      <c r="L36" s="17"/>
      <c r="M36" s="17"/>
      <c r="N36" s="17"/>
      <c r="O36" s="17"/>
      <c r="P36" s="17"/>
      <c r="Q36" s="17"/>
      <c r="R36" s="17"/>
      <c r="S36" s="17"/>
      <c r="T36" s="19" t="n">
        <f aca="false">IFERROR(ROUND((IF(O36="Severe",4,IF(O36="Moderate",3,IF(O36="Minor",2,0)))+IF(P36="Severe",4,IF(P36="Moderate",3,IF(P36="Minor",2,0)))+IF(Q36="Severe",4,IF(Q36="Moderate",3,IF(Q36="Minor",2,0)))+IF(R36="Severe",4,IF(R36="Moderate",3,IF(R36="Minor",2,0))))/16*100,0),"")</f>
        <v>0</v>
      </c>
      <c r="U36" s="18"/>
      <c r="V36" s="17"/>
      <c r="W36" s="17"/>
      <c r="X36" s="17"/>
      <c r="Y36" s="20" t="n">
        <f aca="false">IFERROR(ROUND(IF(H36&gt;=10,30,IF(H36&gt;=5,20,IF(H36&gt;=2,10,0)))+IF(K36="Yes",20,IF(K36="Unsure",10,0))+IF(U36="Yes",30,IF(U36="Later",15,0))+IFERROR(T36/100*20,0),0),"")</f>
        <v>0</v>
      </c>
      <c r="Z36" s="18" t="str">
        <f aca="false">IFERROR(IF(Y36&gt;=80,"🔥 HOT",IF(Y36&gt;=60,"✅ STRONG",IF(Y36&gt;=40,"⚡ WARM",IF(Y36&gt;=20,"📋 NURTURE",IF(Y36&gt;0,"❌ COLD",""))))),"")</f>
        <v/>
      </c>
      <c r="AA36" s="18" t="str">
        <f aca="false">IFERROR(IF(AND(Y36&gt;=60,OR(U36="Yes",U36="Later")),"🚨 URGENT",IF(AND(Y36&gt;=40,I36="Call Back"),"📞 CALL BACK",IF(I36="Booked Meeting","📅 BOOKED",IF(I36="Not Interested","🚫 DEAD","⏳ WORKING")))),"")</f>
        <v>⏳ WORKING</v>
      </c>
      <c r="AB36" s="21"/>
      <c r="AC36" s="22"/>
      <c r="AD36" s="23" t="str">
        <f aca="true">IFERROR(IF(AC36="","",AC36-TODAY()),"")</f>
        <v/>
      </c>
      <c r="AE36" s="17"/>
    </row>
    <row r="37" customFormat="false" ht="19.5" hidden="false" customHeight="true" outlineLevel="0" collapsed="false">
      <c r="A37" s="10"/>
      <c r="B37" s="10"/>
      <c r="C37" s="10"/>
      <c r="D37" s="10"/>
      <c r="E37" s="10"/>
      <c r="F37" s="10"/>
      <c r="G37" s="10"/>
      <c r="H37" s="11"/>
      <c r="I37" s="10"/>
      <c r="J37" s="10"/>
      <c r="K37" s="11"/>
      <c r="L37" s="10"/>
      <c r="M37" s="10"/>
      <c r="N37" s="10"/>
      <c r="O37" s="10"/>
      <c r="P37" s="10"/>
      <c r="Q37" s="10"/>
      <c r="R37" s="10"/>
      <c r="S37" s="10"/>
      <c r="T37" s="12" t="n">
        <f aca="false">IFERROR(ROUND((IF(O37="Severe",4,IF(O37="Moderate",3,IF(O37="Minor",2,0)))+IF(P37="Severe",4,IF(P37="Moderate",3,IF(P37="Minor",2,0)))+IF(Q37="Severe",4,IF(Q37="Moderate",3,IF(Q37="Minor",2,0)))+IF(R37="Severe",4,IF(R37="Moderate",3,IF(R37="Minor",2,0))))/16*100,0),"")</f>
        <v>0</v>
      </c>
      <c r="U37" s="11"/>
      <c r="V37" s="10"/>
      <c r="W37" s="10"/>
      <c r="X37" s="10"/>
      <c r="Y37" s="13" t="n">
        <f aca="false">IFERROR(ROUND(IF(H37&gt;=10,30,IF(H37&gt;=5,20,IF(H37&gt;=2,10,0)))+IF(K37="Yes",20,IF(K37="Unsure",10,0))+IF(U37="Yes",30,IF(U37="Later",15,0))+IFERROR(T37/100*20,0),0),"")</f>
        <v>0</v>
      </c>
      <c r="Z37" s="11" t="str">
        <f aca="false">IFERROR(IF(Y37&gt;=80,"🔥 HOT",IF(Y37&gt;=60,"✅ STRONG",IF(Y37&gt;=40,"⚡ WARM",IF(Y37&gt;=20,"📋 NURTURE",IF(Y37&gt;0,"❌ COLD",""))))),"")</f>
        <v/>
      </c>
      <c r="AA37" s="11" t="str">
        <f aca="false">IFERROR(IF(AND(Y37&gt;=60,OR(U37="Yes",U37="Later")),"🚨 URGENT",IF(AND(Y37&gt;=40,I37="Call Back"),"📞 CALL BACK",IF(I37="Booked Meeting","📅 BOOKED",IF(I37="Not Interested","🚫 DEAD","⏳ WORKING")))),"")</f>
        <v>⏳ WORKING</v>
      </c>
      <c r="AB37" s="14"/>
      <c r="AC37" s="15"/>
      <c r="AD37" s="16" t="str">
        <f aca="true">IFERROR(IF(AC37="","",AC37-TODAY()),"")</f>
        <v/>
      </c>
      <c r="AE37" s="10"/>
    </row>
    <row r="38" customFormat="false" ht="19.5" hidden="false" customHeight="true" outlineLevel="0" collapsed="false">
      <c r="A38" s="17"/>
      <c r="B38" s="17"/>
      <c r="C38" s="17"/>
      <c r="D38" s="17"/>
      <c r="E38" s="17"/>
      <c r="F38" s="17"/>
      <c r="G38" s="17"/>
      <c r="H38" s="18"/>
      <c r="I38" s="17"/>
      <c r="J38" s="17"/>
      <c r="K38" s="18"/>
      <c r="L38" s="17"/>
      <c r="M38" s="17"/>
      <c r="N38" s="17"/>
      <c r="O38" s="17"/>
      <c r="P38" s="17"/>
      <c r="Q38" s="17"/>
      <c r="R38" s="17"/>
      <c r="S38" s="17"/>
      <c r="T38" s="19" t="n">
        <f aca="false">IFERROR(ROUND((IF(O38="Severe",4,IF(O38="Moderate",3,IF(O38="Minor",2,0)))+IF(P38="Severe",4,IF(P38="Moderate",3,IF(P38="Minor",2,0)))+IF(Q38="Severe",4,IF(Q38="Moderate",3,IF(Q38="Minor",2,0)))+IF(R38="Severe",4,IF(R38="Moderate",3,IF(R38="Minor",2,0))))/16*100,0),"")</f>
        <v>0</v>
      </c>
      <c r="U38" s="18"/>
      <c r="V38" s="17"/>
      <c r="W38" s="17"/>
      <c r="X38" s="17"/>
      <c r="Y38" s="20" t="n">
        <f aca="false">IFERROR(ROUND(IF(H38&gt;=10,30,IF(H38&gt;=5,20,IF(H38&gt;=2,10,0)))+IF(K38="Yes",20,IF(K38="Unsure",10,0))+IF(U38="Yes",30,IF(U38="Later",15,0))+IFERROR(T38/100*20,0),0),"")</f>
        <v>0</v>
      </c>
      <c r="Z38" s="18" t="str">
        <f aca="false">IFERROR(IF(Y38&gt;=80,"🔥 HOT",IF(Y38&gt;=60,"✅ STRONG",IF(Y38&gt;=40,"⚡ WARM",IF(Y38&gt;=20,"📋 NURTURE",IF(Y38&gt;0,"❌ COLD",""))))),"")</f>
        <v/>
      </c>
      <c r="AA38" s="18" t="str">
        <f aca="false">IFERROR(IF(AND(Y38&gt;=60,OR(U38="Yes",U38="Later")),"🚨 URGENT",IF(AND(Y38&gt;=40,I38="Call Back"),"📞 CALL BACK",IF(I38="Booked Meeting","📅 BOOKED",IF(I38="Not Interested","🚫 DEAD","⏳ WORKING")))),"")</f>
        <v>⏳ WORKING</v>
      </c>
      <c r="AB38" s="21"/>
      <c r="AC38" s="22"/>
      <c r="AD38" s="23" t="str">
        <f aca="true">IFERROR(IF(AC38="","",AC38-TODAY()),"")</f>
        <v/>
      </c>
      <c r="AE38" s="17"/>
    </row>
    <row r="39" customFormat="false" ht="19.5" hidden="false" customHeight="true" outlineLevel="0" collapsed="false">
      <c r="A39" s="10"/>
      <c r="B39" s="10"/>
      <c r="C39" s="10"/>
      <c r="D39" s="10"/>
      <c r="E39" s="10"/>
      <c r="F39" s="10"/>
      <c r="G39" s="10"/>
      <c r="H39" s="11"/>
      <c r="I39" s="10"/>
      <c r="J39" s="10"/>
      <c r="K39" s="11"/>
      <c r="L39" s="10"/>
      <c r="M39" s="10"/>
      <c r="N39" s="10"/>
      <c r="O39" s="10"/>
      <c r="P39" s="10"/>
      <c r="Q39" s="10"/>
      <c r="R39" s="10"/>
      <c r="S39" s="10"/>
      <c r="T39" s="12" t="n">
        <f aca="false">IFERROR(ROUND((IF(O39="Severe",4,IF(O39="Moderate",3,IF(O39="Minor",2,0)))+IF(P39="Severe",4,IF(P39="Moderate",3,IF(P39="Minor",2,0)))+IF(Q39="Severe",4,IF(Q39="Moderate",3,IF(Q39="Minor",2,0)))+IF(R39="Severe",4,IF(R39="Moderate",3,IF(R39="Minor",2,0))))/16*100,0),"")</f>
        <v>0</v>
      </c>
      <c r="U39" s="11"/>
      <c r="V39" s="10"/>
      <c r="W39" s="10"/>
      <c r="X39" s="10"/>
      <c r="Y39" s="13" t="n">
        <f aca="false">IFERROR(ROUND(IF(H39&gt;=10,30,IF(H39&gt;=5,20,IF(H39&gt;=2,10,0)))+IF(K39="Yes",20,IF(K39="Unsure",10,0))+IF(U39="Yes",30,IF(U39="Later",15,0))+IFERROR(T39/100*20,0),0),"")</f>
        <v>0</v>
      </c>
      <c r="Z39" s="11" t="str">
        <f aca="false">IFERROR(IF(Y39&gt;=80,"🔥 HOT",IF(Y39&gt;=60,"✅ STRONG",IF(Y39&gt;=40,"⚡ WARM",IF(Y39&gt;=20,"📋 NURTURE",IF(Y39&gt;0,"❌ COLD",""))))),"")</f>
        <v/>
      </c>
      <c r="AA39" s="11" t="str">
        <f aca="false">IFERROR(IF(AND(Y39&gt;=60,OR(U39="Yes",U39="Later")),"🚨 URGENT",IF(AND(Y39&gt;=40,I39="Call Back"),"📞 CALL BACK",IF(I39="Booked Meeting","📅 BOOKED",IF(I39="Not Interested","🚫 DEAD","⏳ WORKING")))),"")</f>
        <v>⏳ WORKING</v>
      </c>
      <c r="AB39" s="14"/>
      <c r="AC39" s="15"/>
      <c r="AD39" s="16" t="str">
        <f aca="true">IFERROR(IF(AC39="","",AC39-TODAY()),"")</f>
        <v/>
      </c>
      <c r="AE39" s="10"/>
    </row>
    <row r="40" customFormat="false" ht="19.5" hidden="false" customHeight="true" outlineLevel="0" collapsed="false">
      <c r="A40" s="17"/>
      <c r="B40" s="17"/>
      <c r="C40" s="17"/>
      <c r="D40" s="17"/>
      <c r="E40" s="17"/>
      <c r="F40" s="17"/>
      <c r="G40" s="17"/>
      <c r="H40" s="18"/>
      <c r="I40" s="17"/>
      <c r="J40" s="17"/>
      <c r="K40" s="18"/>
      <c r="L40" s="17"/>
      <c r="M40" s="17"/>
      <c r="N40" s="17"/>
      <c r="O40" s="17"/>
      <c r="P40" s="17"/>
      <c r="Q40" s="17"/>
      <c r="R40" s="17"/>
      <c r="S40" s="17"/>
      <c r="T40" s="19" t="n">
        <f aca="false">IFERROR(ROUND((IF(O40="Severe",4,IF(O40="Moderate",3,IF(O40="Minor",2,0)))+IF(P40="Severe",4,IF(P40="Moderate",3,IF(P40="Minor",2,0)))+IF(Q40="Severe",4,IF(Q40="Moderate",3,IF(Q40="Minor",2,0)))+IF(R40="Severe",4,IF(R40="Moderate",3,IF(R40="Minor",2,0))))/16*100,0),"")</f>
        <v>0</v>
      </c>
      <c r="U40" s="18"/>
      <c r="V40" s="17"/>
      <c r="W40" s="17"/>
      <c r="X40" s="17"/>
      <c r="Y40" s="20" t="n">
        <f aca="false">IFERROR(ROUND(IF(H40&gt;=10,30,IF(H40&gt;=5,20,IF(H40&gt;=2,10,0)))+IF(K40="Yes",20,IF(K40="Unsure",10,0))+IF(U40="Yes",30,IF(U40="Later",15,0))+IFERROR(T40/100*20,0),0),"")</f>
        <v>0</v>
      </c>
      <c r="Z40" s="18" t="str">
        <f aca="false">IFERROR(IF(Y40&gt;=80,"🔥 HOT",IF(Y40&gt;=60,"✅ STRONG",IF(Y40&gt;=40,"⚡ WARM",IF(Y40&gt;=20,"📋 NURTURE",IF(Y40&gt;0,"❌ COLD",""))))),"")</f>
        <v/>
      </c>
      <c r="AA40" s="18" t="str">
        <f aca="false">IFERROR(IF(AND(Y40&gt;=60,OR(U40="Yes",U40="Later")),"🚨 URGENT",IF(AND(Y40&gt;=40,I40="Call Back"),"📞 CALL BACK",IF(I40="Booked Meeting","📅 BOOKED",IF(I40="Not Interested","🚫 DEAD","⏳ WORKING")))),"")</f>
        <v>⏳ WORKING</v>
      </c>
      <c r="AB40" s="21"/>
      <c r="AC40" s="22"/>
      <c r="AD40" s="23" t="str">
        <f aca="true">IFERROR(IF(AC40="","",AC40-TODAY()),"")</f>
        <v/>
      </c>
      <c r="AE40" s="17"/>
    </row>
    <row r="41" customFormat="false" ht="19.5" hidden="false" customHeight="true" outlineLevel="0" collapsed="false">
      <c r="A41" s="10"/>
      <c r="B41" s="10"/>
      <c r="C41" s="10"/>
      <c r="D41" s="10"/>
      <c r="E41" s="10"/>
      <c r="F41" s="10"/>
      <c r="G41" s="10"/>
      <c r="H41" s="11"/>
      <c r="I41" s="10"/>
      <c r="J41" s="10"/>
      <c r="K41" s="11"/>
      <c r="L41" s="10"/>
      <c r="M41" s="10"/>
      <c r="N41" s="10"/>
      <c r="O41" s="10"/>
      <c r="P41" s="10"/>
      <c r="Q41" s="10"/>
      <c r="R41" s="10"/>
      <c r="S41" s="10"/>
      <c r="T41" s="12" t="n">
        <f aca="false">IFERROR(ROUND((IF(O41="Severe",4,IF(O41="Moderate",3,IF(O41="Minor",2,0)))+IF(P41="Severe",4,IF(P41="Moderate",3,IF(P41="Minor",2,0)))+IF(Q41="Severe",4,IF(Q41="Moderate",3,IF(Q41="Minor",2,0)))+IF(R41="Severe",4,IF(R41="Moderate",3,IF(R41="Minor",2,0))))/16*100,0),"")</f>
        <v>0</v>
      </c>
      <c r="U41" s="11"/>
      <c r="V41" s="10"/>
      <c r="W41" s="10"/>
      <c r="X41" s="10"/>
      <c r="Y41" s="13" t="n">
        <f aca="false">IFERROR(ROUND(IF(H41&gt;=10,30,IF(H41&gt;=5,20,IF(H41&gt;=2,10,0)))+IF(K41="Yes",20,IF(K41="Unsure",10,0))+IF(U41="Yes",30,IF(U41="Later",15,0))+IFERROR(T41/100*20,0),0),"")</f>
        <v>0</v>
      </c>
      <c r="Z41" s="11" t="str">
        <f aca="false">IFERROR(IF(Y41&gt;=80,"🔥 HOT",IF(Y41&gt;=60,"✅ STRONG",IF(Y41&gt;=40,"⚡ WARM",IF(Y41&gt;=20,"📋 NURTURE",IF(Y41&gt;0,"❌ COLD",""))))),"")</f>
        <v/>
      </c>
      <c r="AA41" s="11" t="str">
        <f aca="false">IFERROR(IF(AND(Y41&gt;=60,OR(U41="Yes",U41="Later")),"🚨 URGENT",IF(AND(Y41&gt;=40,I41="Call Back"),"📞 CALL BACK",IF(I41="Booked Meeting","📅 BOOKED",IF(I41="Not Interested","🚫 DEAD","⏳ WORKING")))),"")</f>
        <v>⏳ WORKING</v>
      </c>
      <c r="AB41" s="14"/>
      <c r="AC41" s="15"/>
      <c r="AD41" s="16" t="str">
        <f aca="true">IFERROR(IF(AC41="","",AC41-TODAY()),"")</f>
        <v/>
      </c>
      <c r="AE41" s="10"/>
    </row>
    <row r="42" customFormat="false" ht="19.5" hidden="false" customHeight="true" outlineLevel="0" collapsed="false">
      <c r="A42" s="17"/>
      <c r="B42" s="17"/>
      <c r="C42" s="17"/>
      <c r="D42" s="17"/>
      <c r="E42" s="17"/>
      <c r="F42" s="17"/>
      <c r="G42" s="17"/>
      <c r="H42" s="18"/>
      <c r="I42" s="17"/>
      <c r="J42" s="17"/>
      <c r="K42" s="18"/>
      <c r="L42" s="17"/>
      <c r="M42" s="17"/>
      <c r="N42" s="17"/>
      <c r="O42" s="17"/>
      <c r="P42" s="17"/>
      <c r="Q42" s="17"/>
      <c r="R42" s="17"/>
      <c r="S42" s="17"/>
      <c r="T42" s="19" t="n">
        <f aca="false">IFERROR(ROUND((IF(O42="Severe",4,IF(O42="Moderate",3,IF(O42="Minor",2,0)))+IF(P42="Severe",4,IF(P42="Moderate",3,IF(P42="Minor",2,0)))+IF(Q42="Severe",4,IF(Q42="Moderate",3,IF(Q42="Minor",2,0)))+IF(R42="Severe",4,IF(R42="Moderate",3,IF(R42="Minor",2,0))))/16*100,0),"")</f>
        <v>0</v>
      </c>
      <c r="U42" s="18"/>
      <c r="V42" s="17"/>
      <c r="W42" s="17"/>
      <c r="X42" s="17"/>
      <c r="Y42" s="20" t="n">
        <f aca="false">IFERROR(ROUND(IF(H42&gt;=10,30,IF(H42&gt;=5,20,IF(H42&gt;=2,10,0)))+IF(K42="Yes",20,IF(K42="Unsure",10,0))+IF(U42="Yes",30,IF(U42="Later",15,0))+IFERROR(T42/100*20,0),0),"")</f>
        <v>0</v>
      </c>
      <c r="Z42" s="18" t="str">
        <f aca="false">IFERROR(IF(Y42&gt;=80,"🔥 HOT",IF(Y42&gt;=60,"✅ STRONG",IF(Y42&gt;=40,"⚡ WARM",IF(Y42&gt;=20,"📋 NURTURE",IF(Y42&gt;0,"❌ COLD",""))))),"")</f>
        <v/>
      </c>
      <c r="AA42" s="18" t="str">
        <f aca="false">IFERROR(IF(AND(Y42&gt;=60,OR(U42="Yes",U42="Later")),"🚨 URGENT",IF(AND(Y42&gt;=40,I42="Call Back"),"📞 CALL BACK",IF(I42="Booked Meeting","📅 BOOKED",IF(I42="Not Interested","🚫 DEAD","⏳ WORKING")))),"")</f>
        <v>⏳ WORKING</v>
      </c>
      <c r="AB42" s="21"/>
      <c r="AC42" s="22"/>
      <c r="AD42" s="23" t="str">
        <f aca="true">IFERROR(IF(AC42="","",AC42-TODAY()),"")</f>
        <v/>
      </c>
      <c r="AE42" s="17"/>
    </row>
    <row r="43" customFormat="false" ht="19.5" hidden="false" customHeight="true" outlineLevel="0" collapsed="false">
      <c r="A43" s="10"/>
      <c r="B43" s="10"/>
      <c r="C43" s="10"/>
      <c r="D43" s="10"/>
      <c r="E43" s="10"/>
      <c r="F43" s="10"/>
      <c r="G43" s="10"/>
      <c r="H43" s="11"/>
      <c r="I43" s="10"/>
      <c r="J43" s="10"/>
      <c r="K43" s="11"/>
      <c r="L43" s="10"/>
      <c r="M43" s="10"/>
      <c r="N43" s="10"/>
      <c r="O43" s="10"/>
      <c r="P43" s="10"/>
      <c r="Q43" s="10"/>
      <c r="R43" s="10"/>
      <c r="S43" s="10"/>
      <c r="T43" s="12" t="n">
        <f aca="false">IFERROR(ROUND((IF(O43="Severe",4,IF(O43="Moderate",3,IF(O43="Minor",2,0)))+IF(P43="Severe",4,IF(P43="Moderate",3,IF(P43="Minor",2,0)))+IF(Q43="Severe",4,IF(Q43="Moderate",3,IF(Q43="Minor",2,0)))+IF(R43="Severe",4,IF(R43="Moderate",3,IF(R43="Minor",2,0))))/16*100,0),"")</f>
        <v>0</v>
      </c>
      <c r="U43" s="11"/>
      <c r="V43" s="10"/>
      <c r="W43" s="10"/>
      <c r="X43" s="10"/>
      <c r="Y43" s="13" t="n">
        <f aca="false">IFERROR(ROUND(IF(H43&gt;=10,30,IF(H43&gt;=5,20,IF(H43&gt;=2,10,0)))+IF(K43="Yes",20,IF(K43="Unsure",10,0))+IF(U43="Yes",30,IF(U43="Later",15,0))+IFERROR(T43/100*20,0),0),"")</f>
        <v>0</v>
      </c>
      <c r="Z43" s="11" t="str">
        <f aca="false">IFERROR(IF(Y43&gt;=80,"🔥 HOT",IF(Y43&gt;=60,"✅ STRONG",IF(Y43&gt;=40,"⚡ WARM",IF(Y43&gt;=20,"📋 NURTURE",IF(Y43&gt;0,"❌ COLD",""))))),"")</f>
        <v/>
      </c>
      <c r="AA43" s="11" t="str">
        <f aca="false">IFERROR(IF(AND(Y43&gt;=60,OR(U43="Yes",U43="Later")),"🚨 URGENT",IF(AND(Y43&gt;=40,I43="Call Back"),"📞 CALL BACK",IF(I43="Booked Meeting","📅 BOOKED",IF(I43="Not Interested","🚫 DEAD","⏳ WORKING")))),"")</f>
        <v>⏳ WORKING</v>
      </c>
      <c r="AB43" s="14"/>
      <c r="AC43" s="15"/>
      <c r="AD43" s="16" t="str">
        <f aca="true">IFERROR(IF(AC43="","",AC43-TODAY()),"")</f>
        <v/>
      </c>
      <c r="AE43" s="10"/>
    </row>
    <row r="44" customFormat="false" ht="19.5" hidden="false" customHeight="true" outlineLevel="0" collapsed="false">
      <c r="A44" s="17"/>
      <c r="B44" s="17"/>
      <c r="C44" s="17"/>
      <c r="D44" s="17"/>
      <c r="E44" s="17"/>
      <c r="F44" s="17"/>
      <c r="G44" s="17"/>
      <c r="H44" s="18"/>
      <c r="I44" s="17"/>
      <c r="J44" s="17"/>
      <c r="K44" s="18"/>
      <c r="L44" s="17"/>
      <c r="M44" s="17"/>
      <c r="N44" s="17"/>
      <c r="O44" s="17"/>
      <c r="P44" s="17"/>
      <c r="Q44" s="17"/>
      <c r="R44" s="17"/>
      <c r="S44" s="17"/>
      <c r="T44" s="19" t="n">
        <f aca="false">IFERROR(ROUND((IF(O44="Severe",4,IF(O44="Moderate",3,IF(O44="Minor",2,0)))+IF(P44="Severe",4,IF(P44="Moderate",3,IF(P44="Minor",2,0)))+IF(Q44="Severe",4,IF(Q44="Moderate",3,IF(Q44="Minor",2,0)))+IF(R44="Severe",4,IF(R44="Moderate",3,IF(R44="Minor",2,0))))/16*100,0),"")</f>
        <v>0</v>
      </c>
      <c r="U44" s="18"/>
      <c r="V44" s="17"/>
      <c r="W44" s="17"/>
      <c r="X44" s="17"/>
      <c r="Y44" s="20" t="n">
        <f aca="false">IFERROR(ROUND(IF(H44&gt;=10,30,IF(H44&gt;=5,20,IF(H44&gt;=2,10,0)))+IF(K44="Yes",20,IF(K44="Unsure",10,0))+IF(U44="Yes",30,IF(U44="Later",15,0))+IFERROR(T44/100*20,0),0),"")</f>
        <v>0</v>
      </c>
      <c r="Z44" s="18" t="str">
        <f aca="false">IFERROR(IF(Y44&gt;=80,"🔥 HOT",IF(Y44&gt;=60,"✅ STRONG",IF(Y44&gt;=40,"⚡ WARM",IF(Y44&gt;=20,"📋 NURTURE",IF(Y44&gt;0,"❌ COLD",""))))),"")</f>
        <v/>
      </c>
      <c r="AA44" s="18" t="str">
        <f aca="false">IFERROR(IF(AND(Y44&gt;=60,OR(U44="Yes",U44="Later")),"🚨 URGENT",IF(AND(Y44&gt;=40,I44="Call Back"),"📞 CALL BACK",IF(I44="Booked Meeting","📅 BOOKED",IF(I44="Not Interested","🚫 DEAD","⏳ WORKING")))),"")</f>
        <v>⏳ WORKING</v>
      </c>
      <c r="AB44" s="21"/>
      <c r="AC44" s="22"/>
      <c r="AD44" s="23" t="str">
        <f aca="true">IFERROR(IF(AC44="","",AC44-TODAY()),"")</f>
        <v/>
      </c>
      <c r="AE44" s="17"/>
    </row>
    <row r="45" customFormat="false" ht="19.5" hidden="false" customHeight="true" outlineLevel="0" collapsed="false">
      <c r="A45" s="10"/>
      <c r="B45" s="10"/>
      <c r="C45" s="10"/>
      <c r="D45" s="10"/>
      <c r="E45" s="10"/>
      <c r="F45" s="10"/>
      <c r="G45" s="10"/>
      <c r="H45" s="11"/>
      <c r="I45" s="10"/>
      <c r="J45" s="10"/>
      <c r="K45" s="11"/>
      <c r="L45" s="10"/>
      <c r="M45" s="10"/>
      <c r="N45" s="10"/>
      <c r="O45" s="10"/>
      <c r="P45" s="10"/>
      <c r="Q45" s="10"/>
      <c r="R45" s="10"/>
      <c r="S45" s="10"/>
      <c r="T45" s="12" t="n">
        <f aca="false">IFERROR(ROUND((IF(O45="Severe",4,IF(O45="Moderate",3,IF(O45="Minor",2,0)))+IF(P45="Severe",4,IF(P45="Moderate",3,IF(P45="Minor",2,0)))+IF(Q45="Severe",4,IF(Q45="Moderate",3,IF(Q45="Minor",2,0)))+IF(R45="Severe",4,IF(R45="Moderate",3,IF(R45="Minor",2,0))))/16*100,0),"")</f>
        <v>0</v>
      </c>
      <c r="U45" s="11"/>
      <c r="V45" s="10"/>
      <c r="W45" s="10"/>
      <c r="X45" s="10"/>
      <c r="Y45" s="13" t="n">
        <f aca="false">IFERROR(ROUND(IF(H45&gt;=10,30,IF(H45&gt;=5,20,IF(H45&gt;=2,10,0)))+IF(K45="Yes",20,IF(K45="Unsure",10,0))+IF(U45="Yes",30,IF(U45="Later",15,0))+IFERROR(T45/100*20,0),0),"")</f>
        <v>0</v>
      </c>
      <c r="Z45" s="11" t="str">
        <f aca="false">IFERROR(IF(Y45&gt;=80,"🔥 HOT",IF(Y45&gt;=60,"✅ STRONG",IF(Y45&gt;=40,"⚡ WARM",IF(Y45&gt;=20,"📋 NURTURE",IF(Y45&gt;0,"❌ COLD",""))))),"")</f>
        <v/>
      </c>
      <c r="AA45" s="11" t="str">
        <f aca="false">IFERROR(IF(AND(Y45&gt;=60,OR(U45="Yes",U45="Later")),"🚨 URGENT",IF(AND(Y45&gt;=40,I45="Call Back"),"📞 CALL BACK",IF(I45="Booked Meeting","📅 BOOKED",IF(I45="Not Interested","🚫 DEAD","⏳ WORKING")))),"")</f>
        <v>⏳ WORKING</v>
      </c>
      <c r="AB45" s="14"/>
      <c r="AC45" s="15"/>
      <c r="AD45" s="16" t="str">
        <f aca="true">IFERROR(IF(AC45="","",AC45-TODAY()),"")</f>
        <v/>
      </c>
      <c r="AE45" s="10"/>
    </row>
    <row r="46" customFormat="false" ht="19.5" hidden="false" customHeight="true" outlineLevel="0" collapsed="false">
      <c r="A46" s="17"/>
      <c r="B46" s="17"/>
      <c r="C46" s="17"/>
      <c r="D46" s="17"/>
      <c r="E46" s="17"/>
      <c r="F46" s="17"/>
      <c r="G46" s="17"/>
      <c r="H46" s="18"/>
      <c r="I46" s="17"/>
      <c r="J46" s="17"/>
      <c r="K46" s="18"/>
      <c r="L46" s="17"/>
      <c r="M46" s="17"/>
      <c r="N46" s="17"/>
      <c r="O46" s="17"/>
      <c r="P46" s="17"/>
      <c r="Q46" s="17"/>
      <c r="R46" s="17"/>
      <c r="S46" s="17"/>
      <c r="T46" s="19" t="n">
        <f aca="false">IFERROR(ROUND((IF(O46="Severe",4,IF(O46="Moderate",3,IF(O46="Minor",2,0)))+IF(P46="Severe",4,IF(P46="Moderate",3,IF(P46="Minor",2,0)))+IF(Q46="Severe",4,IF(Q46="Moderate",3,IF(Q46="Minor",2,0)))+IF(R46="Severe",4,IF(R46="Moderate",3,IF(R46="Minor",2,0))))/16*100,0),"")</f>
        <v>0</v>
      </c>
      <c r="U46" s="18"/>
      <c r="V46" s="17"/>
      <c r="W46" s="17"/>
      <c r="X46" s="17"/>
      <c r="Y46" s="20" t="n">
        <f aca="false">IFERROR(ROUND(IF(H46&gt;=10,30,IF(H46&gt;=5,20,IF(H46&gt;=2,10,0)))+IF(K46="Yes",20,IF(K46="Unsure",10,0))+IF(U46="Yes",30,IF(U46="Later",15,0))+IFERROR(T46/100*20,0),0),"")</f>
        <v>0</v>
      </c>
      <c r="Z46" s="18" t="str">
        <f aca="false">IFERROR(IF(Y46&gt;=80,"🔥 HOT",IF(Y46&gt;=60,"✅ STRONG",IF(Y46&gt;=40,"⚡ WARM",IF(Y46&gt;=20,"📋 NURTURE",IF(Y46&gt;0,"❌ COLD",""))))),"")</f>
        <v/>
      </c>
      <c r="AA46" s="18" t="str">
        <f aca="false">IFERROR(IF(AND(Y46&gt;=60,OR(U46="Yes",U46="Later")),"🚨 URGENT",IF(AND(Y46&gt;=40,I46="Call Back"),"📞 CALL BACK",IF(I46="Booked Meeting","📅 BOOKED",IF(I46="Not Interested","🚫 DEAD","⏳ WORKING")))),"")</f>
        <v>⏳ WORKING</v>
      </c>
      <c r="AB46" s="21"/>
      <c r="AC46" s="22"/>
      <c r="AD46" s="23" t="str">
        <f aca="true">IFERROR(IF(AC46="","",AC46-TODAY()),"")</f>
        <v/>
      </c>
      <c r="AE46" s="17"/>
    </row>
    <row r="47" customFormat="false" ht="19.5" hidden="false" customHeight="true" outlineLevel="0" collapsed="false">
      <c r="A47" s="10"/>
      <c r="B47" s="10"/>
      <c r="C47" s="10"/>
      <c r="D47" s="10"/>
      <c r="E47" s="10"/>
      <c r="F47" s="10"/>
      <c r="G47" s="10"/>
      <c r="H47" s="11"/>
      <c r="I47" s="10"/>
      <c r="J47" s="10"/>
      <c r="K47" s="11"/>
      <c r="L47" s="10"/>
      <c r="M47" s="10"/>
      <c r="N47" s="10"/>
      <c r="O47" s="10"/>
      <c r="P47" s="10"/>
      <c r="Q47" s="10"/>
      <c r="R47" s="10"/>
      <c r="S47" s="10"/>
      <c r="T47" s="12" t="n">
        <f aca="false">IFERROR(ROUND((IF(O47="Severe",4,IF(O47="Moderate",3,IF(O47="Minor",2,0)))+IF(P47="Severe",4,IF(P47="Moderate",3,IF(P47="Minor",2,0)))+IF(Q47="Severe",4,IF(Q47="Moderate",3,IF(Q47="Minor",2,0)))+IF(R47="Severe",4,IF(R47="Moderate",3,IF(R47="Minor",2,0))))/16*100,0),"")</f>
        <v>0</v>
      </c>
      <c r="U47" s="11"/>
      <c r="V47" s="10"/>
      <c r="W47" s="10"/>
      <c r="X47" s="10"/>
      <c r="Y47" s="13" t="n">
        <f aca="false">IFERROR(ROUND(IF(H47&gt;=10,30,IF(H47&gt;=5,20,IF(H47&gt;=2,10,0)))+IF(K47="Yes",20,IF(K47="Unsure",10,0))+IF(U47="Yes",30,IF(U47="Later",15,0))+IFERROR(T47/100*20,0),0),"")</f>
        <v>0</v>
      </c>
      <c r="Z47" s="11" t="str">
        <f aca="false">IFERROR(IF(Y47&gt;=80,"🔥 HOT",IF(Y47&gt;=60,"✅ STRONG",IF(Y47&gt;=40,"⚡ WARM",IF(Y47&gt;=20,"📋 NURTURE",IF(Y47&gt;0,"❌ COLD",""))))),"")</f>
        <v/>
      </c>
      <c r="AA47" s="11" t="str">
        <f aca="false">IFERROR(IF(AND(Y47&gt;=60,OR(U47="Yes",U47="Later")),"🚨 URGENT",IF(AND(Y47&gt;=40,I47="Call Back"),"📞 CALL BACK",IF(I47="Booked Meeting","📅 BOOKED",IF(I47="Not Interested","🚫 DEAD","⏳ WORKING")))),"")</f>
        <v>⏳ WORKING</v>
      </c>
      <c r="AB47" s="14"/>
      <c r="AC47" s="15"/>
      <c r="AD47" s="16" t="str">
        <f aca="true">IFERROR(IF(AC47="","",AC47-TODAY()),"")</f>
        <v/>
      </c>
      <c r="AE47" s="10"/>
    </row>
    <row r="48" customFormat="false" ht="19.5" hidden="false" customHeight="true" outlineLevel="0" collapsed="false">
      <c r="A48" s="17"/>
      <c r="B48" s="17"/>
      <c r="C48" s="17"/>
      <c r="D48" s="17"/>
      <c r="E48" s="17"/>
      <c r="F48" s="17"/>
      <c r="G48" s="17"/>
      <c r="H48" s="18"/>
      <c r="I48" s="17"/>
      <c r="J48" s="17"/>
      <c r="K48" s="18"/>
      <c r="L48" s="17"/>
      <c r="M48" s="17"/>
      <c r="N48" s="17"/>
      <c r="O48" s="17"/>
      <c r="P48" s="17"/>
      <c r="Q48" s="17"/>
      <c r="R48" s="17"/>
      <c r="S48" s="17"/>
      <c r="T48" s="19" t="n">
        <f aca="false">IFERROR(ROUND((IF(O48="Severe",4,IF(O48="Moderate",3,IF(O48="Minor",2,0)))+IF(P48="Severe",4,IF(P48="Moderate",3,IF(P48="Minor",2,0)))+IF(Q48="Severe",4,IF(Q48="Moderate",3,IF(Q48="Minor",2,0)))+IF(R48="Severe",4,IF(R48="Moderate",3,IF(R48="Minor",2,0))))/16*100,0),"")</f>
        <v>0</v>
      </c>
      <c r="U48" s="18"/>
      <c r="V48" s="17"/>
      <c r="W48" s="17"/>
      <c r="X48" s="17"/>
      <c r="Y48" s="20" t="n">
        <f aca="false">IFERROR(ROUND(IF(H48&gt;=10,30,IF(H48&gt;=5,20,IF(H48&gt;=2,10,0)))+IF(K48="Yes",20,IF(K48="Unsure",10,0))+IF(U48="Yes",30,IF(U48="Later",15,0))+IFERROR(T48/100*20,0),0),"")</f>
        <v>0</v>
      </c>
      <c r="Z48" s="18" t="str">
        <f aca="false">IFERROR(IF(Y48&gt;=80,"🔥 HOT",IF(Y48&gt;=60,"✅ STRONG",IF(Y48&gt;=40,"⚡ WARM",IF(Y48&gt;=20,"📋 NURTURE",IF(Y48&gt;0,"❌ COLD",""))))),"")</f>
        <v/>
      </c>
      <c r="AA48" s="18" t="str">
        <f aca="false">IFERROR(IF(AND(Y48&gt;=60,OR(U48="Yes",U48="Later")),"🚨 URGENT",IF(AND(Y48&gt;=40,I48="Call Back"),"📞 CALL BACK",IF(I48="Booked Meeting","📅 BOOKED",IF(I48="Not Interested","🚫 DEAD","⏳ WORKING")))),"")</f>
        <v>⏳ WORKING</v>
      </c>
      <c r="AB48" s="21"/>
      <c r="AC48" s="22"/>
      <c r="AD48" s="23" t="str">
        <f aca="true">IFERROR(IF(AC48="","",AC48-TODAY()),"")</f>
        <v/>
      </c>
      <c r="AE48" s="17"/>
    </row>
    <row r="49" customFormat="false" ht="19.5" hidden="false" customHeight="true" outlineLevel="0" collapsed="false">
      <c r="A49" s="10"/>
      <c r="B49" s="10"/>
      <c r="C49" s="10"/>
      <c r="D49" s="10"/>
      <c r="E49" s="10"/>
      <c r="F49" s="10"/>
      <c r="G49" s="10"/>
      <c r="H49" s="11"/>
      <c r="I49" s="10"/>
      <c r="J49" s="10"/>
      <c r="K49" s="11"/>
      <c r="L49" s="10"/>
      <c r="M49" s="10"/>
      <c r="N49" s="10"/>
      <c r="O49" s="10"/>
      <c r="P49" s="10"/>
      <c r="Q49" s="10"/>
      <c r="R49" s="10"/>
      <c r="S49" s="10"/>
      <c r="T49" s="12" t="n">
        <f aca="false">IFERROR(ROUND((IF(O49="Severe",4,IF(O49="Moderate",3,IF(O49="Minor",2,0)))+IF(P49="Severe",4,IF(P49="Moderate",3,IF(P49="Minor",2,0)))+IF(Q49="Severe",4,IF(Q49="Moderate",3,IF(Q49="Minor",2,0)))+IF(R49="Severe",4,IF(R49="Moderate",3,IF(R49="Minor",2,0))))/16*100,0),"")</f>
        <v>0</v>
      </c>
      <c r="U49" s="11"/>
      <c r="V49" s="10"/>
      <c r="W49" s="10"/>
      <c r="X49" s="10"/>
      <c r="Y49" s="13" t="n">
        <f aca="false">IFERROR(ROUND(IF(H49&gt;=10,30,IF(H49&gt;=5,20,IF(H49&gt;=2,10,0)))+IF(K49="Yes",20,IF(K49="Unsure",10,0))+IF(U49="Yes",30,IF(U49="Later",15,0))+IFERROR(T49/100*20,0),0),"")</f>
        <v>0</v>
      </c>
      <c r="Z49" s="11" t="str">
        <f aca="false">IFERROR(IF(Y49&gt;=80,"🔥 HOT",IF(Y49&gt;=60,"✅ STRONG",IF(Y49&gt;=40,"⚡ WARM",IF(Y49&gt;=20,"📋 NURTURE",IF(Y49&gt;0,"❌ COLD",""))))),"")</f>
        <v/>
      </c>
      <c r="AA49" s="11" t="str">
        <f aca="false">IFERROR(IF(AND(Y49&gt;=60,OR(U49="Yes",U49="Later")),"🚨 URGENT",IF(AND(Y49&gt;=40,I49="Call Back"),"📞 CALL BACK",IF(I49="Booked Meeting","📅 BOOKED",IF(I49="Not Interested","🚫 DEAD","⏳ WORKING")))),"")</f>
        <v>⏳ WORKING</v>
      </c>
      <c r="AB49" s="14"/>
      <c r="AC49" s="15"/>
      <c r="AD49" s="16" t="str">
        <f aca="true">IFERROR(IF(AC49="","",AC49-TODAY()),"")</f>
        <v/>
      </c>
      <c r="AE49" s="10"/>
    </row>
    <row r="50" customFormat="false" ht="19.5" hidden="false" customHeight="true" outlineLevel="0" collapsed="false">
      <c r="A50" s="17"/>
      <c r="B50" s="17"/>
      <c r="C50" s="17"/>
      <c r="D50" s="17"/>
      <c r="E50" s="17"/>
      <c r="F50" s="17"/>
      <c r="G50" s="17"/>
      <c r="H50" s="18"/>
      <c r="I50" s="17"/>
      <c r="J50" s="17"/>
      <c r="K50" s="18"/>
      <c r="L50" s="17"/>
      <c r="M50" s="17"/>
      <c r="N50" s="17"/>
      <c r="O50" s="17"/>
      <c r="P50" s="17"/>
      <c r="Q50" s="17"/>
      <c r="R50" s="17"/>
      <c r="S50" s="17"/>
      <c r="T50" s="19" t="n">
        <f aca="false">IFERROR(ROUND((IF(O50="Severe",4,IF(O50="Moderate",3,IF(O50="Minor",2,0)))+IF(P50="Severe",4,IF(P50="Moderate",3,IF(P50="Minor",2,0)))+IF(Q50="Severe",4,IF(Q50="Moderate",3,IF(Q50="Minor",2,0)))+IF(R50="Severe",4,IF(R50="Moderate",3,IF(R50="Minor",2,0))))/16*100,0),"")</f>
        <v>0</v>
      </c>
      <c r="U50" s="18"/>
      <c r="V50" s="17"/>
      <c r="W50" s="17"/>
      <c r="X50" s="17"/>
      <c r="Y50" s="20" t="n">
        <f aca="false">IFERROR(ROUND(IF(H50&gt;=10,30,IF(H50&gt;=5,20,IF(H50&gt;=2,10,0)))+IF(K50="Yes",20,IF(K50="Unsure",10,0))+IF(U50="Yes",30,IF(U50="Later",15,0))+IFERROR(T50/100*20,0),0),"")</f>
        <v>0</v>
      </c>
      <c r="Z50" s="18" t="str">
        <f aca="false">IFERROR(IF(Y50&gt;=80,"🔥 HOT",IF(Y50&gt;=60,"✅ STRONG",IF(Y50&gt;=40,"⚡ WARM",IF(Y50&gt;=20,"📋 NURTURE",IF(Y50&gt;0,"❌ COLD",""))))),"")</f>
        <v/>
      </c>
      <c r="AA50" s="18" t="str">
        <f aca="false">IFERROR(IF(AND(Y50&gt;=60,OR(U50="Yes",U50="Later")),"🚨 URGENT",IF(AND(Y50&gt;=40,I50="Call Back"),"📞 CALL BACK",IF(I50="Booked Meeting","📅 BOOKED",IF(I50="Not Interested","🚫 DEAD","⏳ WORKING")))),"")</f>
        <v>⏳ WORKING</v>
      </c>
      <c r="AB50" s="21"/>
      <c r="AC50" s="22"/>
      <c r="AD50" s="23" t="str">
        <f aca="true">IFERROR(IF(AC50="","",AC50-TODAY()),"")</f>
        <v/>
      </c>
      <c r="AE50" s="17"/>
    </row>
    <row r="51" customFormat="false" ht="19.5" hidden="false" customHeight="true" outlineLevel="0" collapsed="false">
      <c r="A51" s="10"/>
      <c r="B51" s="10"/>
      <c r="C51" s="10"/>
      <c r="D51" s="10"/>
      <c r="E51" s="10"/>
      <c r="F51" s="10"/>
      <c r="G51" s="10"/>
      <c r="H51" s="11"/>
      <c r="I51" s="10"/>
      <c r="J51" s="10"/>
      <c r="K51" s="11"/>
      <c r="L51" s="10"/>
      <c r="M51" s="10"/>
      <c r="N51" s="10"/>
      <c r="O51" s="10"/>
      <c r="P51" s="10"/>
      <c r="Q51" s="10"/>
      <c r="R51" s="10"/>
      <c r="S51" s="10"/>
      <c r="T51" s="12" t="n">
        <f aca="false">IFERROR(ROUND((IF(O51="Severe",4,IF(O51="Moderate",3,IF(O51="Minor",2,0)))+IF(P51="Severe",4,IF(P51="Moderate",3,IF(P51="Minor",2,0)))+IF(Q51="Severe",4,IF(Q51="Moderate",3,IF(Q51="Minor",2,0)))+IF(R51="Severe",4,IF(R51="Moderate",3,IF(R51="Minor",2,0))))/16*100,0),"")</f>
        <v>0</v>
      </c>
      <c r="U51" s="11"/>
      <c r="V51" s="10"/>
      <c r="W51" s="10"/>
      <c r="X51" s="10"/>
      <c r="Y51" s="13" t="n">
        <f aca="false">IFERROR(ROUND(IF(H51&gt;=10,30,IF(H51&gt;=5,20,IF(H51&gt;=2,10,0)))+IF(K51="Yes",20,IF(K51="Unsure",10,0))+IF(U51="Yes",30,IF(U51="Later",15,0))+IFERROR(T51/100*20,0),0),"")</f>
        <v>0</v>
      </c>
      <c r="Z51" s="11" t="str">
        <f aca="false">IFERROR(IF(Y51&gt;=80,"🔥 HOT",IF(Y51&gt;=60,"✅ STRONG",IF(Y51&gt;=40,"⚡ WARM",IF(Y51&gt;=20,"📋 NURTURE",IF(Y51&gt;0,"❌ COLD",""))))),"")</f>
        <v/>
      </c>
      <c r="AA51" s="11" t="str">
        <f aca="false">IFERROR(IF(AND(Y51&gt;=60,OR(U51="Yes",U51="Later")),"🚨 URGENT",IF(AND(Y51&gt;=40,I51="Call Back"),"📞 CALL BACK",IF(I51="Booked Meeting","📅 BOOKED",IF(I51="Not Interested","🚫 DEAD","⏳ WORKING")))),"")</f>
        <v>⏳ WORKING</v>
      </c>
      <c r="AB51" s="14"/>
      <c r="AC51" s="15"/>
      <c r="AD51" s="16" t="str">
        <f aca="true">IFERROR(IF(AC51="","",AC51-TODAY()),"")</f>
        <v/>
      </c>
      <c r="AE51" s="10"/>
    </row>
    <row r="52" customFormat="false" ht="19.5" hidden="false" customHeight="true" outlineLevel="0" collapsed="false">
      <c r="A52" s="17"/>
      <c r="B52" s="17"/>
      <c r="C52" s="17"/>
      <c r="D52" s="17"/>
      <c r="E52" s="17"/>
      <c r="F52" s="17"/>
      <c r="G52" s="17"/>
      <c r="H52" s="18"/>
      <c r="I52" s="17"/>
      <c r="J52" s="17"/>
      <c r="K52" s="18"/>
      <c r="L52" s="17"/>
      <c r="M52" s="17"/>
      <c r="N52" s="17"/>
      <c r="O52" s="17"/>
      <c r="P52" s="17"/>
      <c r="Q52" s="17"/>
      <c r="R52" s="17"/>
      <c r="S52" s="17"/>
      <c r="T52" s="19" t="n">
        <f aca="false">IFERROR(ROUND((IF(O52="Severe",4,IF(O52="Moderate",3,IF(O52="Minor",2,0)))+IF(P52="Severe",4,IF(P52="Moderate",3,IF(P52="Minor",2,0)))+IF(Q52="Severe",4,IF(Q52="Moderate",3,IF(Q52="Minor",2,0)))+IF(R52="Severe",4,IF(R52="Moderate",3,IF(R52="Minor",2,0))))/16*100,0),"")</f>
        <v>0</v>
      </c>
      <c r="U52" s="18"/>
      <c r="V52" s="17"/>
      <c r="W52" s="17"/>
      <c r="X52" s="17"/>
      <c r="Y52" s="20" t="n">
        <f aca="false">IFERROR(ROUND(IF(H52&gt;=10,30,IF(H52&gt;=5,20,IF(H52&gt;=2,10,0)))+IF(K52="Yes",20,IF(K52="Unsure",10,0))+IF(U52="Yes",30,IF(U52="Later",15,0))+IFERROR(T52/100*20,0),0),"")</f>
        <v>0</v>
      </c>
      <c r="Z52" s="18" t="str">
        <f aca="false">IFERROR(IF(Y52&gt;=80,"🔥 HOT",IF(Y52&gt;=60,"✅ STRONG",IF(Y52&gt;=40,"⚡ WARM",IF(Y52&gt;=20,"📋 NURTURE",IF(Y52&gt;0,"❌ COLD",""))))),"")</f>
        <v/>
      </c>
      <c r="AA52" s="18" t="str">
        <f aca="false">IFERROR(IF(AND(Y52&gt;=60,OR(U52="Yes",U52="Later")),"🚨 URGENT",IF(AND(Y52&gt;=40,I52="Call Back"),"📞 CALL BACK",IF(I52="Booked Meeting","📅 BOOKED",IF(I52="Not Interested","🚫 DEAD","⏳ WORKING")))),"")</f>
        <v>⏳ WORKING</v>
      </c>
      <c r="AB52" s="21"/>
      <c r="AC52" s="22"/>
      <c r="AD52" s="23" t="str">
        <f aca="true">IFERROR(IF(AC52="","",AC52-TODAY()),"")</f>
        <v/>
      </c>
      <c r="AE52" s="17"/>
    </row>
    <row r="53" customFormat="false" ht="19.5" hidden="false" customHeight="true" outlineLevel="0" collapsed="false">
      <c r="A53" s="10"/>
      <c r="B53" s="10"/>
      <c r="C53" s="10"/>
      <c r="D53" s="10"/>
      <c r="E53" s="10"/>
      <c r="F53" s="10"/>
      <c r="G53" s="10"/>
      <c r="H53" s="11"/>
      <c r="I53" s="10"/>
      <c r="J53" s="10"/>
      <c r="K53" s="11"/>
      <c r="L53" s="10"/>
      <c r="M53" s="10"/>
      <c r="N53" s="10"/>
      <c r="O53" s="10"/>
      <c r="P53" s="10"/>
      <c r="Q53" s="10"/>
      <c r="R53" s="10"/>
      <c r="S53" s="10"/>
      <c r="T53" s="12" t="n">
        <f aca="false">IFERROR(ROUND((IF(O53="Severe",4,IF(O53="Moderate",3,IF(O53="Minor",2,0)))+IF(P53="Severe",4,IF(P53="Moderate",3,IF(P53="Minor",2,0)))+IF(Q53="Severe",4,IF(Q53="Moderate",3,IF(Q53="Minor",2,0)))+IF(R53="Severe",4,IF(R53="Moderate",3,IF(R53="Minor",2,0))))/16*100,0),"")</f>
        <v>0</v>
      </c>
      <c r="U53" s="11"/>
      <c r="V53" s="10"/>
      <c r="W53" s="10"/>
      <c r="X53" s="10"/>
      <c r="Y53" s="13" t="n">
        <f aca="false">IFERROR(ROUND(IF(H53&gt;=10,30,IF(H53&gt;=5,20,IF(H53&gt;=2,10,0)))+IF(K53="Yes",20,IF(K53="Unsure",10,0))+IF(U53="Yes",30,IF(U53="Later",15,0))+IFERROR(T53/100*20,0),0),"")</f>
        <v>0</v>
      </c>
      <c r="Z53" s="11" t="str">
        <f aca="false">IFERROR(IF(Y53&gt;=80,"🔥 HOT",IF(Y53&gt;=60,"✅ STRONG",IF(Y53&gt;=40,"⚡ WARM",IF(Y53&gt;=20,"📋 NURTURE",IF(Y53&gt;0,"❌ COLD",""))))),"")</f>
        <v/>
      </c>
      <c r="AA53" s="11" t="str">
        <f aca="false">IFERROR(IF(AND(Y53&gt;=60,OR(U53="Yes",U53="Later")),"🚨 URGENT",IF(AND(Y53&gt;=40,I53="Call Back"),"📞 CALL BACK",IF(I53="Booked Meeting","📅 BOOKED",IF(I53="Not Interested","🚫 DEAD","⏳ WORKING")))),"")</f>
        <v>⏳ WORKING</v>
      </c>
      <c r="AB53" s="14"/>
      <c r="AC53" s="15"/>
      <c r="AD53" s="16" t="str">
        <f aca="true">IFERROR(IF(AC53="","",AC53-TODAY()),"")</f>
        <v/>
      </c>
      <c r="AE53" s="10"/>
    </row>
    <row r="54" customFormat="false" ht="19.5" hidden="false" customHeight="true" outlineLevel="0" collapsed="false">
      <c r="A54" s="17"/>
      <c r="B54" s="17"/>
      <c r="C54" s="17"/>
      <c r="D54" s="17"/>
      <c r="E54" s="17"/>
      <c r="F54" s="17"/>
      <c r="G54" s="17"/>
      <c r="H54" s="18"/>
      <c r="I54" s="17"/>
      <c r="J54" s="17"/>
      <c r="K54" s="18"/>
      <c r="L54" s="17"/>
      <c r="M54" s="17"/>
      <c r="N54" s="17"/>
      <c r="O54" s="17"/>
      <c r="P54" s="17"/>
      <c r="Q54" s="17"/>
      <c r="R54" s="17"/>
      <c r="S54" s="17"/>
      <c r="T54" s="19" t="n">
        <f aca="false">IFERROR(ROUND((IF(O54="Severe",4,IF(O54="Moderate",3,IF(O54="Minor",2,0)))+IF(P54="Severe",4,IF(P54="Moderate",3,IF(P54="Minor",2,0)))+IF(Q54="Severe",4,IF(Q54="Moderate",3,IF(Q54="Minor",2,0)))+IF(R54="Severe",4,IF(R54="Moderate",3,IF(R54="Minor",2,0))))/16*100,0),"")</f>
        <v>0</v>
      </c>
      <c r="U54" s="18"/>
      <c r="V54" s="17"/>
      <c r="W54" s="17"/>
      <c r="X54" s="17"/>
      <c r="Y54" s="20" t="n">
        <f aca="false">IFERROR(ROUND(IF(H54&gt;=10,30,IF(H54&gt;=5,20,IF(H54&gt;=2,10,0)))+IF(K54="Yes",20,IF(K54="Unsure",10,0))+IF(U54="Yes",30,IF(U54="Later",15,0))+IFERROR(T54/100*20,0),0),"")</f>
        <v>0</v>
      </c>
      <c r="Z54" s="18" t="str">
        <f aca="false">IFERROR(IF(Y54&gt;=80,"🔥 HOT",IF(Y54&gt;=60,"✅ STRONG",IF(Y54&gt;=40,"⚡ WARM",IF(Y54&gt;=20,"📋 NURTURE",IF(Y54&gt;0,"❌ COLD",""))))),"")</f>
        <v/>
      </c>
      <c r="AA54" s="18" t="str">
        <f aca="false">IFERROR(IF(AND(Y54&gt;=60,OR(U54="Yes",U54="Later")),"🚨 URGENT",IF(AND(Y54&gt;=40,I54="Call Back"),"📞 CALL BACK",IF(I54="Booked Meeting","📅 BOOKED",IF(I54="Not Interested","🚫 DEAD","⏳ WORKING")))),"")</f>
        <v>⏳ WORKING</v>
      </c>
      <c r="AB54" s="21"/>
      <c r="AC54" s="22"/>
      <c r="AD54" s="23" t="str">
        <f aca="true">IFERROR(IF(AC54="","",AC54-TODAY()),"")</f>
        <v/>
      </c>
      <c r="AE54" s="17"/>
    </row>
    <row r="55" customFormat="false" ht="19.5" hidden="false" customHeight="true" outlineLevel="0" collapsed="false">
      <c r="A55" s="10"/>
      <c r="B55" s="10"/>
      <c r="C55" s="10"/>
      <c r="D55" s="10"/>
      <c r="E55" s="10"/>
      <c r="F55" s="10"/>
      <c r="G55" s="10"/>
      <c r="H55" s="11"/>
      <c r="I55" s="10"/>
      <c r="J55" s="10"/>
      <c r="K55" s="11"/>
      <c r="L55" s="10"/>
      <c r="M55" s="10"/>
      <c r="N55" s="10"/>
      <c r="O55" s="10"/>
      <c r="P55" s="10"/>
      <c r="Q55" s="10"/>
      <c r="R55" s="10"/>
      <c r="S55" s="10"/>
      <c r="T55" s="12" t="n">
        <f aca="false">IFERROR(ROUND((IF(O55="Severe",4,IF(O55="Moderate",3,IF(O55="Minor",2,0)))+IF(P55="Severe",4,IF(P55="Moderate",3,IF(P55="Minor",2,0)))+IF(Q55="Severe",4,IF(Q55="Moderate",3,IF(Q55="Minor",2,0)))+IF(R55="Severe",4,IF(R55="Moderate",3,IF(R55="Minor",2,0))))/16*100,0),"")</f>
        <v>0</v>
      </c>
      <c r="U55" s="11"/>
      <c r="V55" s="10"/>
      <c r="W55" s="10"/>
      <c r="X55" s="10"/>
      <c r="Y55" s="13" t="n">
        <f aca="false">IFERROR(ROUND(IF(H55&gt;=10,30,IF(H55&gt;=5,20,IF(H55&gt;=2,10,0)))+IF(K55="Yes",20,IF(K55="Unsure",10,0))+IF(U55="Yes",30,IF(U55="Later",15,0))+IFERROR(T55/100*20,0),0),"")</f>
        <v>0</v>
      </c>
      <c r="Z55" s="11" t="str">
        <f aca="false">IFERROR(IF(Y55&gt;=80,"🔥 HOT",IF(Y55&gt;=60,"✅ STRONG",IF(Y55&gt;=40,"⚡ WARM",IF(Y55&gt;=20,"📋 NURTURE",IF(Y55&gt;0,"❌ COLD",""))))),"")</f>
        <v/>
      </c>
      <c r="AA55" s="11" t="str">
        <f aca="false">IFERROR(IF(AND(Y55&gt;=60,OR(U55="Yes",U55="Later")),"🚨 URGENT",IF(AND(Y55&gt;=40,I55="Call Back"),"📞 CALL BACK",IF(I55="Booked Meeting","📅 BOOKED",IF(I55="Not Interested","🚫 DEAD","⏳ WORKING")))),"")</f>
        <v>⏳ WORKING</v>
      </c>
      <c r="AB55" s="14"/>
      <c r="AC55" s="15"/>
      <c r="AD55" s="16" t="str">
        <f aca="true">IFERROR(IF(AC55="","",AC55-TODAY()),"")</f>
        <v/>
      </c>
      <c r="AE55" s="10"/>
    </row>
    <row r="56" customFormat="false" ht="19.5" hidden="false" customHeight="true" outlineLevel="0" collapsed="false">
      <c r="A56" s="17"/>
      <c r="B56" s="17"/>
      <c r="C56" s="17"/>
      <c r="D56" s="17"/>
      <c r="E56" s="17"/>
      <c r="F56" s="17"/>
      <c r="G56" s="17"/>
      <c r="H56" s="18"/>
      <c r="I56" s="17"/>
      <c r="J56" s="17"/>
      <c r="K56" s="18"/>
      <c r="L56" s="17"/>
      <c r="M56" s="17"/>
      <c r="N56" s="17"/>
      <c r="O56" s="17"/>
      <c r="P56" s="17"/>
      <c r="Q56" s="17"/>
      <c r="R56" s="17"/>
      <c r="S56" s="17"/>
      <c r="T56" s="19" t="n">
        <f aca="false">IFERROR(ROUND((IF(O56="Severe",4,IF(O56="Moderate",3,IF(O56="Minor",2,0)))+IF(P56="Severe",4,IF(P56="Moderate",3,IF(P56="Minor",2,0)))+IF(Q56="Severe",4,IF(Q56="Moderate",3,IF(Q56="Minor",2,0)))+IF(R56="Severe",4,IF(R56="Moderate",3,IF(R56="Minor",2,0))))/16*100,0),"")</f>
        <v>0</v>
      </c>
      <c r="U56" s="18"/>
      <c r="V56" s="17"/>
      <c r="W56" s="17"/>
      <c r="X56" s="17"/>
      <c r="Y56" s="20" t="n">
        <f aca="false">IFERROR(ROUND(IF(H56&gt;=10,30,IF(H56&gt;=5,20,IF(H56&gt;=2,10,0)))+IF(K56="Yes",20,IF(K56="Unsure",10,0))+IF(U56="Yes",30,IF(U56="Later",15,0))+IFERROR(T56/100*20,0),0),"")</f>
        <v>0</v>
      </c>
      <c r="Z56" s="18" t="str">
        <f aca="false">IFERROR(IF(Y56&gt;=80,"🔥 HOT",IF(Y56&gt;=60,"✅ STRONG",IF(Y56&gt;=40,"⚡ WARM",IF(Y56&gt;=20,"📋 NURTURE",IF(Y56&gt;0,"❌ COLD",""))))),"")</f>
        <v/>
      </c>
      <c r="AA56" s="18" t="str">
        <f aca="false">IFERROR(IF(AND(Y56&gt;=60,OR(U56="Yes",U56="Later")),"🚨 URGENT",IF(AND(Y56&gt;=40,I56="Call Back"),"📞 CALL BACK",IF(I56="Booked Meeting","📅 BOOKED",IF(I56="Not Interested","🚫 DEAD","⏳ WORKING")))),"")</f>
        <v>⏳ WORKING</v>
      </c>
      <c r="AB56" s="21"/>
      <c r="AC56" s="22"/>
      <c r="AD56" s="23" t="str">
        <f aca="true">IFERROR(IF(AC56="","",AC56-TODAY()),"")</f>
        <v/>
      </c>
      <c r="AE56" s="17"/>
    </row>
    <row r="57" customFormat="false" ht="19.5" hidden="false" customHeight="true" outlineLevel="0" collapsed="false">
      <c r="A57" s="10"/>
      <c r="B57" s="10"/>
      <c r="C57" s="10"/>
      <c r="D57" s="10"/>
      <c r="E57" s="10"/>
      <c r="F57" s="10"/>
      <c r="G57" s="10"/>
      <c r="H57" s="11"/>
      <c r="I57" s="10"/>
      <c r="J57" s="10"/>
      <c r="K57" s="11"/>
      <c r="L57" s="10"/>
      <c r="M57" s="10"/>
      <c r="N57" s="10"/>
      <c r="O57" s="10"/>
      <c r="P57" s="10"/>
      <c r="Q57" s="10"/>
      <c r="R57" s="10"/>
      <c r="S57" s="10"/>
      <c r="T57" s="12" t="n">
        <f aca="false">IFERROR(ROUND((IF(O57="Severe",4,IF(O57="Moderate",3,IF(O57="Minor",2,0)))+IF(P57="Severe",4,IF(P57="Moderate",3,IF(P57="Minor",2,0)))+IF(Q57="Severe",4,IF(Q57="Moderate",3,IF(Q57="Minor",2,0)))+IF(R57="Severe",4,IF(R57="Moderate",3,IF(R57="Minor",2,0))))/16*100,0),"")</f>
        <v>0</v>
      </c>
      <c r="U57" s="11"/>
      <c r="V57" s="10"/>
      <c r="W57" s="10"/>
      <c r="X57" s="10"/>
      <c r="Y57" s="13" t="n">
        <f aca="false">IFERROR(ROUND(IF(H57&gt;=10,30,IF(H57&gt;=5,20,IF(H57&gt;=2,10,0)))+IF(K57="Yes",20,IF(K57="Unsure",10,0))+IF(U57="Yes",30,IF(U57="Later",15,0))+IFERROR(T57/100*20,0),0),"")</f>
        <v>0</v>
      </c>
      <c r="Z57" s="11" t="str">
        <f aca="false">IFERROR(IF(Y57&gt;=80,"🔥 HOT",IF(Y57&gt;=60,"✅ STRONG",IF(Y57&gt;=40,"⚡ WARM",IF(Y57&gt;=20,"📋 NURTURE",IF(Y57&gt;0,"❌ COLD",""))))),"")</f>
        <v/>
      </c>
      <c r="AA57" s="11" t="str">
        <f aca="false">IFERROR(IF(AND(Y57&gt;=60,OR(U57="Yes",U57="Later")),"🚨 URGENT",IF(AND(Y57&gt;=40,I57="Call Back"),"📞 CALL BACK",IF(I57="Booked Meeting","📅 BOOKED",IF(I57="Not Interested","🚫 DEAD","⏳ WORKING")))),"")</f>
        <v>⏳ WORKING</v>
      </c>
      <c r="AB57" s="14"/>
      <c r="AC57" s="15"/>
      <c r="AD57" s="16" t="str">
        <f aca="true">IFERROR(IF(AC57="","",AC57-TODAY()),"")</f>
        <v/>
      </c>
      <c r="AE57" s="10"/>
    </row>
    <row r="58" customFormat="false" ht="19.5" hidden="false" customHeight="true" outlineLevel="0" collapsed="false">
      <c r="A58" s="17"/>
      <c r="B58" s="17"/>
      <c r="C58" s="17"/>
      <c r="D58" s="17"/>
      <c r="E58" s="17"/>
      <c r="F58" s="17"/>
      <c r="G58" s="17"/>
      <c r="H58" s="18"/>
      <c r="I58" s="17"/>
      <c r="J58" s="17"/>
      <c r="K58" s="18"/>
      <c r="L58" s="17"/>
      <c r="M58" s="17"/>
      <c r="N58" s="17"/>
      <c r="O58" s="17"/>
      <c r="P58" s="17"/>
      <c r="Q58" s="17"/>
      <c r="R58" s="17"/>
      <c r="S58" s="17"/>
      <c r="T58" s="19" t="n">
        <f aca="false">IFERROR(ROUND((IF(O58="Severe",4,IF(O58="Moderate",3,IF(O58="Minor",2,0)))+IF(P58="Severe",4,IF(P58="Moderate",3,IF(P58="Minor",2,0)))+IF(Q58="Severe",4,IF(Q58="Moderate",3,IF(Q58="Minor",2,0)))+IF(R58="Severe",4,IF(R58="Moderate",3,IF(R58="Minor",2,0))))/16*100,0),"")</f>
        <v>0</v>
      </c>
      <c r="U58" s="18"/>
      <c r="V58" s="17"/>
      <c r="W58" s="17"/>
      <c r="X58" s="17"/>
      <c r="Y58" s="20" t="n">
        <f aca="false">IFERROR(ROUND(IF(H58&gt;=10,30,IF(H58&gt;=5,20,IF(H58&gt;=2,10,0)))+IF(K58="Yes",20,IF(K58="Unsure",10,0))+IF(U58="Yes",30,IF(U58="Later",15,0))+IFERROR(T58/100*20,0),0),"")</f>
        <v>0</v>
      </c>
      <c r="Z58" s="18" t="str">
        <f aca="false">IFERROR(IF(Y58&gt;=80,"🔥 HOT",IF(Y58&gt;=60,"✅ STRONG",IF(Y58&gt;=40,"⚡ WARM",IF(Y58&gt;=20,"📋 NURTURE",IF(Y58&gt;0,"❌ COLD",""))))),"")</f>
        <v/>
      </c>
      <c r="AA58" s="18" t="str">
        <f aca="false">IFERROR(IF(AND(Y58&gt;=60,OR(U58="Yes",U58="Later")),"🚨 URGENT",IF(AND(Y58&gt;=40,I58="Call Back"),"📞 CALL BACK",IF(I58="Booked Meeting","📅 BOOKED",IF(I58="Not Interested","🚫 DEAD","⏳ WORKING")))),"")</f>
        <v>⏳ WORKING</v>
      </c>
      <c r="AB58" s="21"/>
      <c r="AC58" s="22"/>
      <c r="AD58" s="23" t="str">
        <f aca="true">IFERROR(IF(AC58="","",AC58-TODAY()),"")</f>
        <v/>
      </c>
      <c r="AE58" s="17"/>
    </row>
    <row r="59" customFormat="false" ht="19.5" hidden="false" customHeight="true" outlineLevel="0" collapsed="false">
      <c r="A59" s="10"/>
      <c r="B59" s="10"/>
      <c r="C59" s="10"/>
      <c r="D59" s="10"/>
      <c r="E59" s="10"/>
      <c r="F59" s="10"/>
      <c r="G59" s="10"/>
      <c r="H59" s="11"/>
      <c r="I59" s="10"/>
      <c r="J59" s="10"/>
      <c r="K59" s="11"/>
      <c r="L59" s="10"/>
      <c r="M59" s="10"/>
      <c r="N59" s="10"/>
      <c r="O59" s="10"/>
      <c r="P59" s="10"/>
      <c r="Q59" s="10"/>
      <c r="R59" s="10"/>
      <c r="S59" s="10"/>
      <c r="T59" s="12" t="n">
        <f aca="false">IFERROR(ROUND((IF(O59="Severe",4,IF(O59="Moderate",3,IF(O59="Minor",2,0)))+IF(P59="Severe",4,IF(P59="Moderate",3,IF(P59="Minor",2,0)))+IF(Q59="Severe",4,IF(Q59="Moderate",3,IF(Q59="Minor",2,0)))+IF(R59="Severe",4,IF(R59="Moderate",3,IF(R59="Minor",2,0))))/16*100,0),"")</f>
        <v>0</v>
      </c>
      <c r="U59" s="11"/>
      <c r="V59" s="10"/>
      <c r="W59" s="10"/>
      <c r="X59" s="10"/>
      <c r="Y59" s="13" t="n">
        <f aca="false">IFERROR(ROUND(IF(H59&gt;=10,30,IF(H59&gt;=5,20,IF(H59&gt;=2,10,0)))+IF(K59="Yes",20,IF(K59="Unsure",10,0))+IF(U59="Yes",30,IF(U59="Later",15,0))+IFERROR(T59/100*20,0),0),"")</f>
        <v>0</v>
      </c>
      <c r="Z59" s="11" t="str">
        <f aca="false">IFERROR(IF(Y59&gt;=80,"🔥 HOT",IF(Y59&gt;=60,"✅ STRONG",IF(Y59&gt;=40,"⚡ WARM",IF(Y59&gt;=20,"📋 NURTURE",IF(Y59&gt;0,"❌ COLD",""))))),"")</f>
        <v/>
      </c>
      <c r="AA59" s="11" t="str">
        <f aca="false">IFERROR(IF(AND(Y59&gt;=60,OR(U59="Yes",U59="Later")),"🚨 URGENT",IF(AND(Y59&gt;=40,I59="Call Back"),"📞 CALL BACK",IF(I59="Booked Meeting","📅 BOOKED",IF(I59="Not Interested","🚫 DEAD","⏳ WORKING")))),"")</f>
        <v>⏳ WORKING</v>
      </c>
      <c r="AB59" s="14"/>
      <c r="AC59" s="15"/>
      <c r="AD59" s="16" t="str">
        <f aca="true">IFERROR(IF(AC59="","",AC59-TODAY()),"")</f>
        <v/>
      </c>
      <c r="AE59" s="10"/>
    </row>
    <row r="60" customFormat="false" ht="19.5" hidden="false" customHeight="true" outlineLevel="0" collapsed="false">
      <c r="A60" s="17"/>
      <c r="B60" s="17"/>
      <c r="C60" s="17"/>
      <c r="D60" s="17"/>
      <c r="E60" s="17"/>
      <c r="F60" s="17"/>
      <c r="G60" s="17"/>
      <c r="H60" s="18"/>
      <c r="I60" s="17"/>
      <c r="J60" s="17"/>
      <c r="K60" s="18"/>
      <c r="L60" s="17"/>
      <c r="M60" s="17"/>
      <c r="N60" s="17"/>
      <c r="O60" s="17"/>
      <c r="P60" s="17"/>
      <c r="Q60" s="17"/>
      <c r="R60" s="17"/>
      <c r="S60" s="17"/>
      <c r="T60" s="19" t="n">
        <f aca="false">IFERROR(ROUND((IF(O60="Severe",4,IF(O60="Moderate",3,IF(O60="Minor",2,0)))+IF(P60="Severe",4,IF(P60="Moderate",3,IF(P60="Minor",2,0)))+IF(Q60="Severe",4,IF(Q60="Moderate",3,IF(Q60="Minor",2,0)))+IF(R60="Severe",4,IF(R60="Moderate",3,IF(R60="Minor",2,0))))/16*100,0),"")</f>
        <v>0</v>
      </c>
      <c r="U60" s="18"/>
      <c r="V60" s="17"/>
      <c r="W60" s="17"/>
      <c r="X60" s="17"/>
      <c r="Y60" s="20" t="n">
        <f aca="false">IFERROR(ROUND(IF(H60&gt;=10,30,IF(H60&gt;=5,20,IF(H60&gt;=2,10,0)))+IF(K60="Yes",20,IF(K60="Unsure",10,0))+IF(U60="Yes",30,IF(U60="Later",15,0))+IFERROR(T60/100*20,0),0),"")</f>
        <v>0</v>
      </c>
      <c r="Z60" s="18" t="str">
        <f aca="false">IFERROR(IF(Y60&gt;=80,"🔥 HOT",IF(Y60&gt;=60,"✅ STRONG",IF(Y60&gt;=40,"⚡ WARM",IF(Y60&gt;=20,"📋 NURTURE",IF(Y60&gt;0,"❌ COLD",""))))),"")</f>
        <v/>
      </c>
      <c r="AA60" s="18" t="str">
        <f aca="false">IFERROR(IF(AND(Y60&gt;=60,OR(U60="Yes",U60="Later")),"🚨 URGENT",IF(AND(Y60&gt;=40,I60="Call Back"),"📞 CALL BACK",IF(I60="Booked Meeting","📅 BOOKED",IF(I60="Not Interested","🚫 DEAD","⏳ WORKING")))),"")</f>
        <v>⏳ WORKING</v>
      </c>
      <c r="AB60" s="21"/>
      <c r="AC60" s="22"/>
      <c r="AD60" s="23" t="str">
        <f aca="true">IFERROR(IF(AC60="","",AC60-TODAY()),"")</f>
        <v/>
      </c>
      <c r="AE60" s="17"/>
    </row>
    <row r="61" customFormat="false" ht="19.5" hidden="false" customHeight="true" outlineLevel="0" collapsed="false">
      <c r="A61" s="10"/>
      <c r="B61" s="10"/>
      <c r="C61" s="10"/>
      <c r="D61" s="10"/>
      <c r="E61" s="10"/>
      <c r="F61" s="10"/>
      <c r="G61" s="10"/>
      <c r="H61" s="11"/>
      <c r="I61" s="10"/>
      <c r="J61" s="10"/>
      <c r="K61" s="11"/>
      <c r="L61" s="10"/>
      <c r="M61" s="10"/>
      <c r="N61" s="10"/>
      <c r="O61" s="10"/>
      <c r="P61" s="10"/>
      <c r="Q61" s="10"/>
      <c r="R61" s="10"/>
      <c r="S61" s="10"/>
      <c r="T61" s="12" t="n">
        <f aca="false">IFERROR(ROUND((IF(O61="Severe",4,IF(O61="Moderate",3,IF(O61="Minor",2,0)))+IF(P61="Severe",4,IF(P61="Moderate",3,IF(P61="Minor",2,0)))+IF(Q61="Severe",4,IF(Q61="Moderate",3,IF(Q61="Minor",2,0)))+IF(R61="Severe",4,IF(R61="Moderate",3,IF(R61="Minor",2,0))))/16*100,0),"")</f>
        <v>0</v>
      </c>
      <c r="U61" s="11"/>
      <c r="V61" s="10"/>
      <c r="W61" s="10"/>
      <c r="X61" s="10"/>
      <c r="Y61" s="13" t="n">
        <f aca="false">IFERROR(ROUND(IF(H61&gt;=10,30,IF(H61&gt;=5,20,IF(H61&gt;=2,10,0)))+IF(K61="Yes",20,IF(K61="Unsure",10,0))+IF(U61="Yes",30,IF(U61="Later",15,0))+IFERROR(T61/100*20,0),0),"")</f>
        <v>0</v>
      </c>
      <c r="Z61" s="11" t="str">
        <f aca="false">IFERROR(IF(Y61&gt;=80,"🔥 HOT",IF(Y61&gt;=60,"✅ STRONG",IF(Y61&gt;=40,"⚡ WARM",IF(Y61&gt;=20,"📋 NURTURE",IF(Y61&gt;0,"❌ COLD",""))))),"")</f>
        <v/>
      </c>
      <c r="AA61" s="11" t="str">
        <f aca="false">IFERROR(IF(AND(Y61&gt;=60,OR(U61="Yes",U61="Later")),"🚨 URGENT",IF(AND(Y61&gt;=40,I61="Call Back"),"📞 CALL BACK",IF(I61="Booked Meeting","📅 BOOKED",IF(I61="Not Interested","🚫 DEAD","⏳ WORKING")))),"")</f>
        <v>⏳ WORKING</v>
      </c>
      <c r="AB61" s="14"/>
      <c r="AC61" s="15"/>
      <c r="AD61" s="16" t="str">
        <f aca="true">IFERROR(IF(AC61="","",AC61-TODAY()),"")</f>
        <v/>
      </c>
      <c r="AE61" s="10"/>
    </row>
    <row r="62" customFormat="false" ht="19.5" hidden="false" customHeight="true" outlineLevel="0" collapsed="false">
      <c r="A62" s="17"/>
      <c r="B62" s="17"/>
      <c r="C62" s="17"/>
      <c r="D62" s="17"/>
      <c r="E62" s="17"/>
      <c r="F62" s="17"/>
      <c r="G62" s="17"/>
      <c r="H62" s="18"/>
      <c r="I62" s="17"/>
      <c r="J62" s="17"/>
      <c r="K62" s="18"/>
      <c r="L62" s="17"/>
      <c r="M62" s="17"/>
      <c r="N62" s="17"/>
      <c r="O62" s="17"/>
      <c r="P62" s="17"/>
      <c r="Q62" s="17"/>
      <c r="R62" s="17"/>
      <c r="S62" s="17"/>
      <c r="T62" s="19" t="n">
        <f aca="false">IFERROR(ROUND((IF(O62="Severe",4,IF(O62="Moderate",3,IF(O62="Minor",2,0)))+IF(P62="Severe",4,IF(P62="Moderate",3,IF(P62="Minor",2,0)))+IF(Q62="Severe",4,IF(Q62="Moderate",3,IF(Q62="Minor",2,0)))+IF(R62="Severe",4,IF(R62="Moderate",3,IF(R62="Minor",2,0))))/16*100,0),"")</f>
        <v>0</v>
      </c>
      <c r="U62" s="18"/>
      <c r="V62" s="17"/>
      <c r="W62" s="17"/>
      <c r="X62" s="17"/>
      <c r="Y62" s="20" t="n">
        <f aca="false">IFERROR(ROUND(IF(H62&gt;=10,30,IF(H62&gt;=5,20,IF(H62&gt;=2,10,0)))+IF(K62="Yes",20,IF(K62="Unsure",10,0))+IF(U62="Yes",30,IF(U62="Later",15,0))+IFERROR(T62/100*20,0),0),"")</f>
        <v>0</v>
      </c>
      <c r="Z62" s="18" t="str">
        <f aca="false">IFERROR(IF(Y62&gt;=80,"🔥 HOT",IF(Y62&gt;=60,"✅ STRONG",IF(Y62&gt;=40,"⚡ WARM",IF(Y62&gt;=20,"📋 NURTURE",IF(Y62&gt;0,"❌ COLD",""))))),"")</f>
        <v/>
      </c>
      <c r="AA62" s="18" t="str">
        <f aca="false">IFERROR(IF(AND(Y62&gt;=60,OR(U62="Yes",U62="Later")),"🚨 URGENT",IF(AND(Y62&gt;=40,I62="Call Back"),"📞 CALL BACK",IF(I62="Booked Meeting","📅 BOOKED",IF(I62="Not Interested","🚫 DEAD","⏳ WORKING")))),"")</f>
        <v>⏳ WORKING</v>
      </c>
      <c r="AB62" s="21"/>
      <c r="AC62" s="22"/>
      <c r="AD62" s="23" t="str">
        <f aca="true">IFERROR(IF(AC62="","",AC62-TODAY()),"")</f>
        <v/>
      </c>
      <c r="AE62" s="17"/>
    </row>
    <row r="63" customFormat="false" ht="19.5" hidden="false" customHeight="true" outlineLevel="0" collapsed="false">
      <c r="A63" s="10"/>
      <c r="B63" s="10"/>
      <c r="C63" s="10"/>
      <c r="D63" s="10"/>
      <c r="E63" s="10"/>
      <c r="F63" s="10"/>
      <c r="G63" s="10"/>
      <c r="H63" s="11"/>
      <c r="I63" s="10"/>
      <c r="J63" s="10"/>
      <c r="K63" s="11"/>
      <c r="L63" s="10"/>
      <c r="M63" s="10"/>
      <c r="N63" s="10"/>
      <c r="O63" s="10"/>
      <c r="P63" s="10"/>
      <c r="Q63" s="10"/>
      <c r="R63" s="10"/>
      <c r="S63" s="10"/>
      <c r="T63" s="12" t="n">
        <f aca="false">IFERROR(ROUND((IF(O63="Severe",4,IF(O63="Moderate",3,IF(O63="Minor",2,0)))+IF(P63="Severe",4,IF(P63="Moderate",3,IF(P63="Minor",2,0)))+IF(Q63="Severe",4,IF(Q63="Moderate",3,IF(Q63="Minor",2,0)))+IF(R63="Severe",4,IF(R63="Moderate",3,IF(R63="Minor",2,0))))/16*100,0),"")</f>
        <v>0</v>
      </c>
      <c r="U63" s="11"/>
      <c r="V63" s="10"/>
      <c r="W63" s="10"/>
      <c r="X63" s="10"/>
      <c r="Y63" s="13" t="n">
        <f aca="false">IFERROR(ROUND(IF(H63&gt;=10,30,IF(H63&gt;=5,20,IF(H63&gt;=2,10,0)))+IF(K63="Yes",20,IF(K63="Unsure",10,0))+IF(U63="Yes",30,IF(U63="Later",15,0))+IFERROR(T63/100*20,0),0),"")</f>
        <v>0</v>
      </c>
      <c r="Z63" s="11" t="str">
        <f aca="false">IFERROR(IF(Y63&gt;=80,"🔥 HOT",IF(Y63&gt;=60,"✅ STRONG",IF(Y63&gt;=40,"⚡ WARM",IF(Y63&gt;=20,"📋 NURTURE",IF(Y63&gt;0,"❌ COLD",""))))),"")</f>
        <v/>
      </c>
      <c r="AA63" s="11" t="str">
        <f aca="false">IFERROR(IF(AND(Y63&gt;=60,OR(U63="Yes",U63="Later")),"🚨 URGENT",IF(AND(Y63&gt;=40,I63="Call Back"),"📞 CALL BACK",IF(I63="Booked Meeting","📅 BOOKED",IF(I63="Not Interested","🚫 DEAD","⏳ WORKING")))),"")</f>
        <v>⏳ WORKING</v>
      </c>
      <c r="AB63" s="14"/>
      <c r="AC63" s="15"/>
      <c r="AD63" s="16" t="str">
        <f aca="true">IFERROR(IF(AC63="","",AC63-TODAY()),"")</f>
        <v/>
      </c>
      <c r="AE63" s="10"/>
    </row>
    <row r="64" customFormat="false" ht="19.5" hidden="false" customHeight="true" outlineLevel="0" collapsed="false">
      <c r="A64" s="17"/>
      <c r="B64" s="17"/>
      <c r="C64" s="17"/>
      <c r="D64" s="17"/>
      <c r="E64" s="17"/>
      <c r="F64" s="17"/>
      <c r="G64" s="17"/>
      <c r="H64" s="18"/>
      <c r="I64" s="17"/>
      <c r="J64" s="17"/>
      <c r="K64" s="18"/>
      <c r="L64" s="17"/>
      <c r="M64" s="17"/>
      <c r="N64" s="17"/>
      <c r="O64" s="17"/>
      <c r="P64" s="17"/>
      <c r="Q64" s="17"/>
      <c r="R64" s="17"/>
      <c r="S64" s="17"/>
      <c r="T64" s="19" t="n">
        <f aca="false">IFERROR(ROUND((IF(O64="Severe",4,IF(O64="Moderate",3,IF(O64="Minor",2,0)))+IF(P64="Severe",4,IF(P64="Moderate",3,IF(P64="Minor",2,0)))+IF(Q64="Severe",4,IF(Q64="Moderate",3,IF(Q64="Minor",2,0)))+IF(R64="Severe",4,IF(R64="Moderate",3,IF(R64="Minor",2,0))))/16*100,0),"")</f>
        <v>0</v>
      </c>
      <c r="U64" s="18"/>
      <c r="V64" s="17"/>
      <c r="W64" s="17"/>
      <c r="X64" s="17"/>
      <c r="Y64" s="20" t="n">
        <f aca="false">IFERROR(ROUND(IF(H64&gt;=10,30,IF(H64&gt;=5,20,IF(H64&gt;=2,10,0)))+IF(K64="Yes",20,IF(K64="Unsure",10,0))+IF(U64="Yes",30,IF(U64="Later",15,0))+IFERROR(T64/100*20,0),0),"")</f>
        <v>0</v>
      </c>
      <c r="Z64" s="18" t="str">
        <f aca="false">IFERROR(IF(Y64&gt;=80,"🔥 HOT",IF(Y64&gt;=60,"✅ STRONG",IF(Y64&gt;=40,"⚡ WARM",IF(Y64&gt;=20,"📋 NURTURE",IF(Y64&gt;0,"❌ COLD",""))))),"")</f>
        <v/>
      </c>
      <c r="AA64" s="18" t="str">
        <f aca="false">IFERROR(IF(AND(Y64&gt;=60,OR(U64="Yes",U64="Later")),"🚨 URGENT",IF(AND(Y64&gt;=40,I64="Call Back"),"📞 CALL BACK",IF(I64="Booked Meeting","📅 BOOKED",IF(I64="Not Interested","🚫 DEAD","⏳ WORKING")))),"")</f>
        <v>⏳ WORKING</v>
      </c>
      <c r="AB64" s="21"/>
      <c r="AC64" s="22"/>
      <c r="AD64" s="23" t="str">
        <f aca="true">IFERROR(IF(AC64="","",AC64-TODAY()),"")</f>
        <v/>
      </c>
      <c r="AE64" s="17"/>
    </row>
    <row r="65" customFormat="false" ht="19.5" hidden="false" customHeight="true" outlineLevel="0" collapsed="false">
      <c r="A65" s="10"/>
      <c r="B65" s="10"/>
      <c r="C65" s="10"/>
      <c r="D65" s="10"/>
      <c r="E65" s="10"/>
      <c r="F65" s="10"/>
      <c r="G65" s="10"/>
      <c r="H65" s="11"/>
      <c r="I65" s="10"/>
      <c r="J65" s="10"/>
      <c r="K65" s="11"/>
      <c r="L65" s="10"/>
      <c r="M65" s="10"/>
      <c r="N65" s="10"/>
      <c r="O65" s="10"/>
      <c r="P65" s="10"/>
      <c r="Q65" s="10"/>
      <c r="R65" s="10"/>
      <c r="S65" s="10"/>
      <c r="T65" s="12" t="n">
        <f aca="false">IFERROR(ROUND((IF(O65="Severe",4,IF(O65="Moderate",3,IF(O65="Minor",2,0)))+IF(P65="Severe",4,IF(P65="Moderate",3,IF(P65="Minor",2,0)))+IF(Q65="Severe",4,IF(Q65="Moderate",3,IF(Q65="Minor",2,0)))+IF(R65="Severe",4,IF(R65="Moderate",3,IF(R65="Minor",2,0))))/16*100,0),"")</f>
        <v>0</v>
      </c>
      <c r="U65" s="11"/>
      <c r="V65" s="10"/>
      <c r="W65" s="10"/>
      <c r="X65" s="10"/>
      <c r="Y65" s="13" t="n">
        <f aca="false">IFERROR(ROUND(IF(H65&gt;=10,30,IF(H65&gt;=5,20,IF(H65&gt;=2,10,0)))+IF(K65="Yes",20,IF(K65="Unsure",10,0))+IF(U65="Yes",30,IF(U65="Later",15,0))+IFERROR(T65/100*20,0),0),"")</f>
        <v>0</v>
      </c>
      <c r="Z65" s="11" t="str">
        <f aca="false">IFERROR(IF(Y65&gt;=80,"🔥 HOT",IF(Y65&gt;=60,"✅ STRONG",IF(Y65&gt;=40,"⚡ WARM",IF(Y65&gt;=20,"📋 NURTURE",IF(Y65&gt;0,"❌ COLD",""))))),"")</f>
        <v/>
      </c>
      <c r="AA65" s="11" t="str">
        <f aca="false">IFERROR(IF(AND(Y65&gt;=60,OR(U65="Yes",U65="Later")),"🚨 URGENT",IF(AND(Y65&gt;=40,I65="Call Back"),"📞 CALL BACK",IF(I65="Booked Meeting","📅 BOOKED",IF(I65="Not Interested","🚫 DEAD","⏳ WORKING")))),"")</f>
        <v>⏳ WORKING</v>
      </c>
      <c r="AB65" s="14"/>
      <c r="AC65" s="15"/>
      <c r="AD65" s="16" t="str">
        <f aca="true">IFERROR(IF(AC65="","",AC65-TODAY()),"")</f>
        <v/>
      </c>
      <c r="AE65" s="10"/>
    </row>
    <row r="66" customFormat="false" ht="19.5" hidden="false" customHeight="true" outlineLevel="0" collapsed="false">
      <c r="A66" s="17"/>
      <c r="B66" s="17"/>
      <c r="C66" s="17"/>
      <c r="D66" s="17"/>
      <c r="E66" s="17"/>
      <c r="F66" s="17"/>
      <c r="G66" s="17"/>
      <c r="H66" s="18"/>
      <c r="I66" s="17"/>
      <c r="J66" s="17"/>
      <c r="K66" s="18"/>
      <c r="L66" s="17"/>
      <c r="M66" s="17"/>
      <c r="N66" s="17"/>
      <c r="O66" s="17"/>
      <c r="P66" s="17"/>
      <c r="Q66" s="17"/>
      <c r="R66" s="17"/>
      <c r="S66" s="17"/>
      <c r="T66" s="19" t="n">
        <f aca="false">IFERROR(ROUND((IF(O66="Severe",4,IF(O66="Moderate",3,IF(O66="Minor",2,0)))+IF(P66="Severe",4,IF(P66="Moderate",3,IF(P66="Minor",2,0)))+IF(Q66="Severe",4,IF(Q66="Moderate",3,IF(Q66="Minor",2,0)))+IF(R66="Severe",4,IF(R66="Moderate",3,IF(R66="Minor",2,0))))/16*100,0),"")</f>
        <v>0</v>
      </c>
      <c r="U66" s="18"/>
      <c r="V66" s="17"/>
      <c r="W66" s="17"/>
      <c r="X66" s="17"/>
      <c r="Y66" s="20" t="n">
        <f aca="false">IFERROR(ROUND(IF(H66&gt;=10,30,IF(H66&gt;=5,20,IF(H66&gt;=2,10,0)))+IF(K66="Yes",20,IF(K66="Unsure",10,0))+IF(U66="Yes",30,IF(U66="Later",15,0))+IFERROR(T66/100*20,0),0),"")</f>
        <v>0</v>
      </c>
      <c r="Z66" s="18" t="str">
        <f aca="false">IFERROR(IF(Y66&gt;=80,"🔥 HOT",IF(Y66&gt;=60,"✅ STRONG",IF(Y66&gt;=40,"⚡ WARM",IF(Y66&gt;=20,"📋 NURTURE",IF(Y66&gt;0,"❌ COLD",""))))),"")</f>
        <v/>
      </c>
      <c r="AA66" s="18" t="str">
        <f aca="false">IFERROR(IF(AND(Y66&gt;=60,OR(U66="Yes",U66="Later")),"🚨 URGENT",IF(AND(Y66&gt;=40,I66="Call Back"),"📞 CALL BACK",IF(I66="Booked Meeting","📅 BOOKED",IF(I66="Not Interested","🚫 DEAD","⏳ WORKING")))),"")</f>
        <v>⏳ WORKING</v>
      </c>
      <c r="AB66" s="21"/>
      <c r="AC66" s="22"/>
      <c r="AD66" s="23" t="str">
        <f aca="true">IFERROR(IF(AC66="","",AC66-TODAY()),"")</f>
        <v/>
      </c>
      <c r="AE66" s="17"/>
    </row>
    <row r="67" customFormat="false" ht="19.5" hidden="false" customHeight="true" outlineLevel="0" collapsed="false">
      <c r="A67" s="10"/>
      <c r="B67" s="10"/>
      <c r="C67" s="10"/>
      <c r="D67" s="10"/>
      <c r="E67" s="10"/>
      <c r="F67" s="10"/>
      <c r="G67" s="10"/>
      <c r="H67" s="11"/>
      <c r="I67" s="10"/>
      <c r="J67" s="10"/>
      <c r="K67" s="11"/>
      <c r="L67" s="10"/>
      <c r="M67" s="10"/>
      <c r="N67" s="10"/>
      <c r="O67" s="10"/>
      <c r="P67" s="10"/>
      <c r="Q67" s="10"/>
      <c r="R67" s="10"/>
      <c r="S67" s="10"/>
      <c r="T67" s="12" t="n">
        <f aca="false">IFERROR(ROUND((IF(O67="Severe",4,IF(O67="Moderate",3,IF(O67="Minor",2,0)))+IF(P67="Severe",4,IF(P67="Moderate",3,IF(P67="Minor",2,0)))+IF(Q67="Severe",4,IF(Q67="Moderate",3,IF(Q67="Minor",2,0)))+IF(R67="Severe",4,IF(R67="Moderate",3,IF(R67="Minor",2,0))))/16*100,0),"")</f>
        <v>0</v>
      </c>
      <c r="U67" s="11"/>
      <c r="V67" s="10"/>
      <c r="W67" s="10"/>
      <c r="X67" s="10"/>
      <c r="Y67" s="13" t="n">
        <f aca="false">IFERROR(ROUND(IF(H67&gt;=10,30,IF(H67&gt;=5,20,IF(H67&gt;=2,10,0)))+IF(K67="Yes",20,IF(K67="Unsure",10,0))+IF(U67="Yes",30,IF(U67="Later",15,0))+IFERROR(T67/100*20,0),0),"")</f>
        <v>0</v>
      </c>
      <c r="Z67" s="11" t="str">
        <f aca="false">IFERROR(IF(Y67&gt;=80,"🔥 HOT",IF(Y67&gt;=60,"✅ STRONG",IF(Y67&gt;=40,"⚡ WARM",IF(Y67&gt;=20,"📋 NURTURE",IF(Y67&gt;0,"❌ COLD",""))))),"")</f>
        <v/>
      </c>
      <c r="AA67" s="11" t="str">
        <f aca="false">IFERROR(IF(AND(Y67&gt;=60,OR(U67="Yes",U67="Later")),"🚨 URGENT",IF(AND(Y67&gt;=40,I67="Call Back"),"📞 CALL BACK",IF(I67="Booked Meeting","📅 BOOKED",IF(I67="Not Interested","🚫 DEAD","⏳ WORKING")))),"")</f>
        <v>⏳ WORKING</v>
      </c>
      <c r="AB67" s="14"/>
      <c r="AC67" s="15"/>
      <c r="AD67" s="16" t="str">
        <f aca="true">IFERROR(IF(AC67="","",AC67-TODAY()),"")</f>
        <v/>
      </c>
      <c r="AE67" s="10"/>
    </row>
    <row r="68" customFormat="false" ht="19.5" hidden="false" customHeight="true" outlineLevel="0" collapsed="false">
      <c r="A68" s="17"/>
      <c r="B68" s="17"/>
      <c r="C68" s="17"/>
      <c r="D68" s="17"/>
      <c r="E68" s="17"/>
      <c r="F68" s="17"/>
      <c r="G68" s="17"/>
      <c r="H68" s="18"/>
      <c r="I68" s="17"/>
      <c r="J68" s="17"/>
      <c r="K68" s="18"/>
      <c r="L68" s="17"/>
      <c r="M68" s="17"/>
      <c r="N68" s="17"/>
      <c r="O68" s="17"/>
      <c r="P68" s="17"/>
      <c r="Q68" s="17"/>
      <c r="R68" s="17"/>
      <c r="S68" s="17"/>
      <c r="T68" s="19" t="n">
        <f aca="false">IFERROR(ROUND((IF(O68="Severe",4,IF(O68="Moderate",3,IF(O68="Minor",2,0)))+IF(P68="Severe",4,IF(P68="Moderate",3,IF(P68="Minor",2,0)))+IF(Q68="Severe",4,IF(Q68="Moderate",3,IF(Q68="Minor",2,0)))+IF(R68="Severe",4,IF(R68="Moderate",3,IF(R68="Minor",2,0))))/16*100,0),"")</f>
        <v>0</v>
      </c>
      <c r="U68" s="18"/>
      <c r="V68" s="17"/>
      <c r="W68" s="17"/>
      <c r="X68" s="17"/>
      <c r="Y68" s="20" t="n">
        <f aca="false">IFERROR(ROUND(IF(H68&gt;=10,30,IF(H68&gt;=5,20,IF(H68&gt;=2,10,0)))+IF(K68="Yes",20,IF(K68="Unsure",10,0))+IF(U68="Yes",30,IF(U68="Later",15,0))+IFERROR(T68/100*20,0),0),"")</f>
        <v>0</v>
      </c>
      <c r="Z68" s="18" t="str">
        <f aca="false">IFERROR(IF(Y68&gt;=80,"🔥 HOT",IF(Y68&gt;=60,"✅ STRONG",IF(Y68&gt;=40,"⚡ WARM",IF(Y68&gt;=20,"📋 NURTURE",IF(Y68&gt;0,"❌ COLD",""))))),"")</f>
        <v/>
      </c>
      <c r="AA68" s="18" t="str">
        <f aca="false">IFERROR(IF(AND(Y68&gt;=60,OR(U68="Yes",U68="Later")),"🚨 URGENT",IF(AND(Y68&gt;=40,I68="Call Back"),"📞 CALL BACK",IF(I68="Booked Meeting","📅 BOOKED",IF(I68="Not Interested","🚫 DEAD","⏳ WORKING")))),"")</f>
        <v>⏳ WORKING</v>
      </c>
      <c r="AB68" s="21"/>
      <c r="AC68" s="22"/>
      <c r="AD68" s="23" t="str">
        <f aca="true">IFERROR(IF(AC68="","",AC68-TODAY()),"")</f>
        <v/>
      </c>
      <c r="AE68" s="17"/>
    </row>
    <row r="69" customFormat="false" ht="19.5" hidden="false" customHeight="true" outlineLevel="0" collapsed="false">
      <c r="A69" s="10"/>
      <c r="B69" s="10"/>
      <c r="C69" s="10"/>
      <c r="D69" s="10"/>
      <c r="E69" s="10"/>
      <c r="F69" s="10"/>
      <c r="G69" s="10"/>
      <c r="H69" s="11"/>
      <c r="I69" s="10"/>
      <c r="J69" s="10"/>
      <c r="K69" s="11"/>
      <c r="L69" s="10"/>
      <c r="M69" s="10"/>
      <c r="N69" s="10"/>
      <c r="O69" s="10"/>
      <c r="P69" s="10"/>
      <c r="Q69" s="10"/>
      <c r="R69" s="10"/>
      <c r="S69" s="10"/>
      <c r="T69" s="12" t="n">
        <f aca="false">IFERROR(ROUND((IF(O69="Severe",4,IF(O69="Moderate",3,IF(O69="Minor",2,0)))+IF(P69="Severe",4,IF(P69="Moderate",3,IF(P69="Minor",2,0)))+IF(Q69="Severe",4,IF(Q69="Moderate",3,IF(Q69="Minor",2,0)))+IF(R69="Severe",4,IF(R69="Moderate",3,IF(R69="Minor",2,0))))/16*100,0),"")</f>
        <v>0</v>
      </c>
      <c r="U69" s="11"/>
      <c r="V69" s="10"/>
      <c r="W69" s="10"/>
      <c r="X69" s="10"/>
      <c r="Y69" s="13" t="n">
        <f aca="false">IFERROR(ROUND(IF(H69&gt;=10,30,IF(H69&gt;=5,20,IF(H69&gt;=2,10,0)))+IF(K69="Yes",20,IF(K69="Unsure",10,0))+IF(U69="Yes",30,IF(U69="Later",15,0))+IFERROR(T69/100*20,0),0),"")</f>
        <v>0</v>
      </c>
      <c r="Z69" s="11" t="str">
        <f aca="false">IFERROR(IF(Y69&gt;=80,"🔥 HOT",IF(Y69&gt;=60,"✅ STRONG",IF(Y69&gt;=40,"⚡ WARM",IF(Y69&gt;=20,"📋 NURTURE",IF(Y69&gt;0,"❌ COLD",""))))),"")</f>
        <v/>
      </c>
      <c r="AA69" s="11" t="str">
        <f aca="false">IFERROR(IF(AND(Y69&gt;=60,OR(U69="Yes",U69="Later")),"🚨 URGENT",IF(AND(Y69&gt;=40,I69="Call Back"),"📞 CALL BACK",IF(I69="Booked Meeting","📅 BOOKED",IF(I69="Not Interested","🚫 DEAD","⏳ WORKING")))),"")</f>
        <v>⏳ WORKING</v>
      </c>
      <c r="AB69" s="14"/>
      <c r="AC69" s="15"/>
      <c r="AD69" s="16" t="str">
        <f aca="true">IFERROR(IF(AC69="","",AC69-TODAY()),"")</f>
        <v/>
      </c>
      <c r="AE69" s="10"/>
    </row>
    <row r="70" customFormat="false" ht="19.5" hidden="false" customHeight="true" outlineLevel="0" collapsed="false">
      <c r="A70" s="17"/>
      <c r="B70" s="17"/>
      <c r="C70" s="17"/>
      <c r="D70" s="17"/>
      <c r="E70" s="17"/>
      <c r="F70" s="17"/>
      <c r="G70" s="17"/>
      <c r="H70" s="18"/>
      <c r="I70" s="17"/>
      <c r="J70" s="17"/>
      <c r="K70" s="18"/>
      <c r="L70" s="17"/>
      <c r="M70" s="17"/>
      <c r="N70" s="17"/>
      <c r="O70" s="17"/>
      <c r="P70" s="17"/>
      <c r="Q70" s="17"/>
      <c r="R70" s="17"/>
      <c r="S70" s="17"/>
      <c r="T70" s="19" t="n">
        <f aca="false">IFERROR(ROUND((IF(O70="Severe",4,IF(O70="Moderate",3,IF(O70="Minor",2,0)))+IF(P70="Severe",4,IF(P70="Moderate",3,IF(P70="Minor",2,0)))+IF(Q70="Severe",4,IF(Q70="Moderate",3,IF(Q70="Minor",2,0)))+IF(R70="Severe",4,IF(R70="Moderate",3,IF(R70="Minor",2,0))))/16*100,0),"")</f>
        <v>0</v>
      </c>
      <c r="U70" s="18"/>
      <c r="V70" s="17"/>
      <c r="W70" s="17"/>
      <c r="X70" s="17"/>
      <c r="Y70" s="20" t="n">
        <f aca="false">IFERROR(ROUND(IF(H70&gt;=10,30,IF(H70&gt;=5,20,IF(H70&gt;=2,10,0)))+IF(K70="Yes",20,IF(K70="Unsure",10,0))+IF(U70="Yes",30,IF(U70="Later",15,0))+IFERROR(T70/100*20,0),0),"")</f>
        <v>0</v>
      </c>
      <c r="Z70" s="18" t="str">
        <f aca="false">IFERROR(IF(Y70&gt;=80,"🔥 HOT",IF(Y70&gt;=60,"✅ STRONG",IF(Y70&gt;=40,"⚡ WARM",IF(Y70&gt;=20,"📋 NURTURE",IF(Y70&gt;0,"❌ COLD",""))))),"")</f>
        <v/>
      </c>
      <c r="AA70" s="18" t="str">
        <f aca="false">IFERROR(IF(AND(Y70&gt;=60,OR(U70="Yes",U70="Later")),"🚨 URGENT",IF(AND(Y70&gt;=40,I70="Call Back"),"📞 CALL BACK",IF(I70="Booked Meeting","📅 BOOKED",IF(I70="Not Interested","🚫 DEAD","⏳ WORKING")))),"")</f>
        <v>⏳ WORKING</v>
      </c>
      <c r="AB70" s="21"/>
      <c r="AC70" s="22"/>
      <c r="AD70" s="23" t="str">
        <f aca="true">IFERROR(IF(AC70="","",AC70-TODAY()),"")</f>
        <v/>
      </c>
      <c r="AE70" s="17"/>
    </row>
    <row r="71" customFormat="false" ht="19.5" hidden="false" customHeight="true" outlineLevel="0" collapsed="false">
      <c r="A71" s="10"/>
      <c r="B71" s="10"/>
      <c r="C71" s="10"/>
      <c r="D71" s="10"/>
      <c r="E71" s="10"/>
      <c r="F71" s="10"/>
      <c r="G71" s="10"/>
      <c r="H71" s="11"/>
      <c r="I71" s="10"/>
      <c r="J71" s="10"/>
      <c r="K71" s="11"/>
      <c r="L71" s="10"/>
      <c r="M71" s="10"/>
      <c r="N71" s="10"/>
      <c r="O71" s="10"/>
      <c r="P71" s="10"/>
      <c r="Q71" s="10"/>
      <c r="R71" s="10"/>
      <c r="S71" s="10"/>
      <c r="T71" s="12" t="n">
        <f aca="false">IFERROR(ROUND((IF(O71="Severe",4,IF(O71="Moderate",3,IF(O71="Minor",2,0)))+IF(P71="Severe",4,IF(P71="Moderate",3,IF(P71="Minor",2,0)))+IF(Q71="Severe",4,IF(Q71="Moderate",3,IF(Q71="Minor",2,0)))+IF(R71="Severe",4,IF(R71="Moderate",3,IF(R71="Minor",2,0))))/16*100,0),"")</f>
        <v>0</v>
      </c>
      <c r="U71" s="11"/>
      <c r="V71" s="10"/>
      <c r="W71" s="10"/>
      <c r="X71" s="10"/>
      <c r="Y71" s="13" t="n">
        <f aca="false">IFERROR(ROUND(IF(H71&gt;=10,30,IF(H71&gt;=5,20,IF(H71&gt;=2,10,0)))+IF(K71="Yes",20,IF(K71="Unsure",10,0))+IF(U71="Yes",30,IF(U71="Later",15,0))+IFERROR(T71/100*20,0),0),"")</f>
        <v>0</v>
      </c>
      <c r="Z71" s="11" t="str">
        <f aca="false">IFERROR(IF(Y71&gt;=80,"🔥 HOT",IF(Y71&gt;=60,"✅ STRONG",IF(Y71&gt;=40,"⚡ WARM",IF(Y71&gt;=20,"📋 NURTURE",IF(Y71&gt;0,"❌ COLD",""))))),"")</f>
        <v/>
      </c>
      <c r="AA71" s="11" t="str">
        <f aca="false">IFERROR(IF(AND(Y71&gt;=60,OR(U71="Yes",U71="Later")),"🚨 URGENT",IF(AND(Y71&gt;=40,I71="Call Back"),"📞 CALL BACK",IF(I71="Booked Meeting","📅 BOOKED",IF(I71="Not Interested","🚫 DEAD","⏳ WORKING")))),"")</f>
        <v>⏳ WORKING</v>
      </c>
      <c r="AB71" s="14"/>
      <c r="AC71" s="15"/>
      <c r="AD71" s="16" t="str">
        <f aca="true">IFERROR(IF(AC71="","",AC71-TODAY()),"")</f>
        <v/>
      </c>
      <c r="AE71" s="10"/>
    </row>
    <row r="72" customFormat="false" ht="19.5" hidden="false" customHeight="true" outlineLevel="0" collapsed="false">
      <c r="A72" s="17"/>
      <c r="B72" s="17"/>
      <c r="C72" s="17"/>
      <c r="D72" s="17"/>
      <c r="E72" s="17"/>
      <c r="F72" s="17"/>
      <c r="G72" s="17"/>
      <c r="H72" s="18"/>
      <c r="I72" s="17"/>
      <c r="J72" s="17"/>
      <c r="K72" s="18"/>
      <c r="L72" s="17"/>
      <c r="M72" s="17"/>
      <c r="N72" s="17"/>
      <c r="O72" s="17"/>
      <c r="P72" s="17"/>
      <c r="Q72" s="17"/>
      <c r="R72" s="17"/>
      <c r="S72" s="17"/>
      <c r="T72" s="19" t="n">
        <f aca="false">IFERROR(ROUND((IF(O72="Severe",4,IF(O72="Moderate",3,IF(O72="Minor",2,0)))+IF(P72="Severe",4,IF(P72="Moderate",3,IF(P72="Minor",2,0)))+IF(Q72="Severe",4,IF(Q72="Moderate",3,IF(Q72="Minor",2,0)))+IF(R72="Severe",4,IF(R72="Moderate",3,IF(R72="Minor",2,0))))/16*100,0),"")</f>
        <v>0</v>
      </c>
      <c r="U72" s="18"/>
      <c r="V72" s="17"/>
      <c r="W72" s="17"/>
      <c r="X72" s="17"/>
      <c r="Y72" s="20" t="n">
        <f aca="false">IFERROR(ROUND(IF(H72&gt;=10,30,IF(H72&gt;=5,20,IF(H72&gt;=2,10,0)))+IF(K72="Yes",20,IF(K72="Unsure",10,0))+IF(U72="Yes",30,IF(U72="Later",15,0))+IFERROR(T72/100*20,0),0),"")</f>
        <v>0</v>
      </c>
      <c r="Z72" s="18" t="str">
        <f aca="false">IFERROR(IF(Y72&gt;=80,"🔥 HOT",IF(Y72&gt;=60,"✅ STRONG",IF(Y72&gt;=40,"⚡ WARM",IF(Y72&gt;=20,"📋 NURTURE",IF(Y72&gt;0,"❌ COLD",""))))),"")</f>
        <v/>
      </c>
      <c r="AA72" s="18" t="str">
        <f aca="false">IFERROR(IF(AND(Y72&gt;=60,OR(U72="Yes",U72="Later")),"🚨 URGENT",IF(AND(Y72&gt;=40,I72="Call Back"),"📞 CALL BACK",IF(I72="Booked Meeting","📅 BOOKED",IF(I72="Not Interested","🚫 DEAD","⏳ WORKING")))),"")</f>
        <v>⏳ WORKING</v>
      </c>
      <c r="AB72" s="21"/>
      <c r="AC72" s="22"/>
      <c r="AD72" s="23" t="str">
        <f aca="true">IFERROR(IF(AC72="","",AC72-TODAY()),"")</f>
        <v/>
      </c>
      <c r="AE72" s="17"/>
    </row>
    <row r="73" customFormat="false" ht="19.5" hidden="false" customHeight="true" outlineLevel="0" collapsed="false">
      <c r="A73" s="10"/>
      <c r="B73" s="10"/>
      <c r="C73" s="10"/>
      <c r="D73" s="10"/>
      <c r="E73" s="10"/>
      <c r="F73" s="10"/>
      <c r="G73" s="10"/>
      <c r="H73" s="11"/>
      <c r="I73" s="10"/>
      <c r="J73" s="10"/>
      <c r="K73" s="11"/>
      <c r="L73" s="10"/>
      <c r="M73" s="10"/>
      <c r="N73" s="10"/>
      <c r="O73" s="10"/>
      <c r="P73" s="10"/>
      <c r="Q73" s="10"/>
      <c r="R73" s="10"/>
      <c r="S73" s="10"/>
      <c r="T73" s="12" t="n">
        <f aca="false">IFERROR(ROUND((IF(O73="Severe",4,IF(O73="Moderate",3,IF(O73="Minor",2,0)))+IF(P73="Severe",4,IF(P73="Moderate",3,IF(P73="Minor",2,0)))+IF(Q73="Severe",4,IF(Q73="Moderate",3,IF(Q73="Minor",2,0)))+IF(R73="Severe",4,IF(R73="Moderate",3,IF(R73="Minor",2,0))))/16*100,0),"")</f>
        <v>0</v>
      </c>
      <c r="U73" s="11"/>
      <c r="V73" s="10"/>
      <c r="W73" s="10"/>
      <c r="X73" s="10"/>
      <c r="Y73" s="13" t="n">
        <f aca="false">IFERROR(ROUND(IF(H73&gt;=10,30,IF(H73&gt;=5,20,IF(H73&gt;=2,10,0)))+IF(K73="Yes",20,IF(K73="Unsure",10,0))+IF(U73="Yes",30,IF(U73="Later",15,0))+IFERROR(T73/100*20,0),0),"")</f>
        <v>0</v>
      </c>
      <c r="Z73" s="11" t="str">
        <f aca="false">IFERROR(IF(Y73&gt;=80,"🔥 HOT",IF(Y73&gt;=60,"✅ STRONG",IF(Y73&gt;=40,"⚡ WARM",IF(Y73&gt;=20,"📋 NURTURE",IF(Y73&gt;0,"❌ COLD",""))))),"")</f>
        <v/>
      </c>
      <c r="AA73" s="11" t="str">
        <f aca="false">IFERROR(IF(AND(Y73&gt;=60,OR(U73="Yes",U73="Later")),"🚨 URGENT",IF(AND(Y73&gt;=40,I73="Call Back"),"📞 CALL BACK",IF(I73="Booked Meeting","📅 BOOKED",IF(I73="Not Interested","🚫 DEAD","⏳ WORKING")))),"")</f>
        <v>⏳ WORKING</v>
      </c>
      <c r="AB73" s="14"/>
      <c r="AC73" s="15"/>
      <c r="AD73" s="16" t="str">
        <f aca="true">IFERROR(IF(AC73="","",AC73-TODAY()),"")</f>
        <v/>
      </c>
      <c r="AE73" s="10"/>
    </row>
    <row r="74" customFormat="false" ht="19.5" hidden="false" customHeight="true" outlineLevel="0" collapsed="false">
      <c r="A74" s="17"/>
      <c r="B74" s="17"/>
      <c r="C74" s="17"/>
      <c r="D74" s="17"/>
      <c r="E74" s="17"/>
      <c r="F74" s="17"/>
      <c r="G74" s="17"/>
      <c r="H74" s="18"/>
      <c r="I74" s="17"/>
      <c r="J74" s="17"/>
      <c r="K74" s="18"/>
      <c r="L74" s="17"/>
      <c r="M74" s="17"/>
      <c r="N74" s="17"/>
      <c r="O74" s="17"/>
      <c r="P74" s="17"/>
      <c r="Q74" s="17"/>
      <c r="R74" s="17"/>
      <c r="S74" s="17"/>
      <c r="T74" s="19" t="n">
        <f aca="false">IFERROR(ROUND((IF(O74="Severe",4,IF(O74="Moderate",3,IF(O74="Minor",2,0)))+IF(P74="Severe",4,IF(P74="Moderate",3,IF(P74="Minor",2,0)))+IF(Q74="Severe",4,IF(Q74="Moderate",3,IF(Q74="Minor",2,0)))+IF(R74="Severe",4,IF(R74="Moderate",3,IF(R74="Minor",2,0))))/16*100,0),"")</f>
        <v>0</v>
      </c>
      <c r="U74" s="18"/>
      <c r="V74" s="17"/>
      <c r="W74" s="17"/>
      <c r="X74" s="17"/>
      <c r="Y74" s="20" t="n">
        <f aca="false">IFERROR(ROUND(IF(H74&gt;=10,30,IF(H74&gt;=5,20,IF(H74&gt;=2,10,0)))+IF(K74="Yes",20,IF(K74="Unsure",10,0))+IF(U74="Yes",30,IF(U74="Later",15,0))+IFERROR(T74/100*20,0),0),"")</f>
        <v>0</v>
      </c>
      <c r="Z74" s="18" t="str">
        <f aca="false">IFERROR(IF(Y74&gt;=80,"🔥 HOT",IF(Y74&gt;=60,"✅ STRONG",IF(Y74&gt;=40,"⚡ WARM",IF(Y74&gt;=20,"📋 NURTURE",IF(Y74&gt;0,"❌ COLD",""))))),"")</f>
        <v/>
      </c>
      <c r="AA74" s="18" t="str">
        <f aca="false">IFERROR(IF(AND(Y74&gt;=60,OR(U74="Yes",U74="Later")),"🚨 URGENT",IF(AND(Y74&gt;=40,I74="Call Back"),"📞 CALL BACK",IF(I74="Booked Meeting","📅 BOOKED",IF(I74="Not Interested","🚫 DEAD","⏳ WORKING")))),"")</f>
        <v>⏳ WORKING</v>
      </c>
      <c r="AB74" s="21"/>
      <c r="AC74" s="22"/>
      <c r="AD74" s="23" t="str">
        <f aca="true">IFERROR(IF(AC74="","",AC74-TODAY()),"")</f>
        <v/>
      </c>
      <c r="AE74" s="17"/>
    </row>
    <row r="75" customFormat="false" ht="19.5" hidden="false" customHeight="true" outlineLevel="0" collapsed="false">
      <c r="A75" s="10"/>
      <c r="B75" s="10"/>
      <c r="C75" s="10"/>
      <c r="D75" s="10"/>
      <c r="E75" s="10"/>
      <c r="F75" s="10"/>
      <c r="G75" s="10"/>
      <c r="H75" s="11"/>
      <c r="I75" s="10"/>
      <c r="J75" s="10"/>
      <c r="K75" s="11"/>
      <c r="L75" s="10"/>
      <c r="M75" s="10"/>
      <c r="N75" s="10"/>
      <c r="O75" s="10"/>
      <c r="P75" s="10"/>
      <c r="Q75" s="10"/>
      <c r="R75" s="10"/>
      <c r="S75" s="10"/>
      <c r="T75" s="12" t="n">
        <f aca="false">IFERROR(ROUND((IF(O75="Severe",4,IF(O75="Moderate",3,IF(O75="Minor",2,0)))+IF(P75="Severe",4,IF(P75="Moderate",3,IF(P75="Minor",2,0)))+IF(Q75="Severe",4,IF(Q75="Moderate",3,IF(Q75="Minor",2,0)))+IF(R75="Severe",4,IF(R75="Moderate",3,IF(R75="Minor",2,0))))/16*100,0),"")</f>
        <v>0</v>
      </c>
      <c r="U75" s="11"/>
      <c r="V75" s="10"/>
      <c r="W75" s="10"/>
      <c r="X75" s="10"/>
      <c r="Y75" s="13" t="n">
        <f aca="false">IFERROR(ROUND(IF(H75&gt;=10,30,IF(H75&gt;=5,20,IF(H75&gt;=2,10,0)))+IF(K75="Yes",20,IF(K75="Unsure",10,0))+IF(U75="Yes",30,IF(U75="Later",15,0))+IFERROR(T75/100*20,0),0),"")</f>
        <v>0</v>
      </c>
      <c r="Z75" s="11" t="str">
        <f aca="false">IFERROR(IF(Y75&gt;=80,"🔥 HOT",IF(Y75&gt;=60,"✅ STRONG",IF(Y75&gt;=40,"⚡ WARM",IF(Y75&gt;=20,"📋 NURTURE",IF(Y75&gt;0,"❌ COLD",""))))),"")</f>
        <v/>
      </c>
      <c r="AA75" s="11" t="str">
        <f aca="false">IFERROR(IF(AND(Y75&gt;=60,OR(U75="Yes",U75="Later")),"🚨 URGENT",IF(AND(Y75&gt;=40,I75="Call Back"),"📞 CALL BACK",IF(I75="Booked Meeting","📅 BOOKED",IF(I75="Not Interested","🚫 DEAD","⏳ WORKING")))),"")</f>
        <v>⏳ WORKING</v>
      </c>
      <c r="AB75" s="14"/>
      <c r="AC75" s="15"/>
      <c r="AD75" s="16" t="str">
        <f aca="true">IFERROR(IF(AC75="","",AC75-TODAY()),"")</f>
        <v/>
      </c>
      <c r="AE75" s="10"/>
    </row>
    <row r="76" customFormat="false" ht="19.5" hidden="false" customHeight="true" outlineLevel="0" collapsed="false">
      <c r="A76" s="17"/>
      <c r="B76" s="17"/>
      <c r="C76" s="17"/>
      <c r="D76" s="17"/>
      <c r="E76" s="17"/>
      <c r="F76" s="17"/>
      <c r="G76" s="17"/>
      <c r="H76" s="18"/>
      <c r="I76" s="17"/>
      <c r="J76" s="17"/>
      <c r="K76" s="18"/>
      <c r="L76" s="17"/>
      <c r="M76" s="17"/>
      <c r="N76" s="17"/>
      <c r="O76" s="17"/>
      <c r="P76" s="17"/>
      <c r="Q76" s="17"/>
      <c r="R76" s="17"/>
      <c r="S76" s="17"/>
      <c r="T76" s="19" t="n">
        <f aca="false">IFERROR(ROUND((IF(O76="Severe",4,IF(O76="Moderate",3,IF(O76="Minor",2,0)))+IF(P76="Severe",4,IF(P76="Moderate",3,IF(P76="Minor",2,0)))+IF(Q76="Severe",4,IF(Q76="Moderate",3,IF(Q76="Minor",2,0)))+IF(R76="Severe",4,IF(R76="Moderate",3,IF(R76="Minor",2,0))))/16*100,0),"")</f>
        <v>0</v>
      </c>
      <c r="U76" s="18"/>
      <c r="V76" s="17"/>
      <c r="W76" s="17"/>
      <c r="X76" s="17"/>
      <c r="Y76" s="20" t="n">
        <f aca="false">IFERROR(ROUND(IF(H76&gt;=10,30,IF(H76&gt;=5,20,IF(H76&gt;=2,10,0)))+IF(K76="Yes",20,IF(K76="Unsure",10,0))+IF(U76="Yes",30,IF(U76="Later",15,0))+IFERROR(T76/100*20,0),0),"")</f>
        <v>0</v>
      </c>
      <c r="Z76" s="18" t="str">
        <f aca="false">IFERROR(IF(Y76&gt;=80,"🔥 HOT",IF(Y76&gt;=60,"✅ STRONG",IF(Y76&gt;=40,"⚡ WARM",IF(Y76&gt;=20,"📋 NURTURE",IF(Y76&gt;0,"❌ COLD",""))))),"")</f>
        <v/>
      </c>
      <c r="AA76" s="18" t="str">
        <f aca="false">IFERROR(IF(AND(Y76&gt;=60,OR(U76="Yes",U76="Later")),"🚨 URGENT",IF(AND(Y76&gt;=40,I76="Call Back"),"📞 CALL BACK",IF(I76="Booked Meeting","📅 BOOKED",IF(I76="Not Interested","🚫 DEAD","⏳ WORKING")))),"")</f>
        <v>⏳ WORKING</v>
      </c>
      <c r="AB76" s="21"/>
      <c r="AC76" s="22"/>
      <c r="AD76" s="23" t="str">
        <f aca="true">IFERROR(IF(AC76="","",AC76-TODAY()),"")</f>
        <v/>
      </c>
      <c r="AE76" s="17"/>
    </row>
    <row r="77" customFormat="false" ht="19.5" hidden="false" customHeight="true" outlineLevel="0" collapsed="false">
      <c r="A77" s="10"/>
      <c r="B77" s="10"/>
      <c r="C77" s="10"/>
      <c r="D77" s="10"/>
      <c r="E77" s="10"/>
      <c r="F77" s="10"/>
      <c r="G77" s="10"/>
      <c r="H77" s="11"/>
      <c r="I77" s="10"/>
      <c r="J77" s="10"/>
      <c r="K77" s="11"/>
      <c r="L77" s="10"/>
      <c r="M77" s="10"/>
      <c r="N77" s="10"/>
      <c r="O77" s="10"/>
      <c r="P77" s="10"/>
      <c r="Q77" s="10"/>
      <c r="R77" s="10"/>
      <c r="S77" s="10"/>
      <c r="T77" s="12" t="n">
        <f aca="false">IFERROR(ROUND((IF(O77="Severe",4,IF(O77="Moderate",3,IF(O77="Minor",2,0)))+IF(P77="Severe",4,IF(P77="Moderate",3,IF(P77="Minor",2,0)))+IF(Q77="Severe",4,IF(Q77="Moderate",3,IF(Q77="Minor",2,0)))+IF(R77="Severe",4,IF(R77="Moderate",3,IF(R77="Minor",2,0))))/16*100,0),"")</f>
        <v>0</v>
      </c>
      <c r="U77" s="11"/>
      <c r="V77" s="10"/>
      <c r="W77" s="10"/>
      <c r="X77" s="10"/>
      <c r="Y77" s="13" t="n">
        <f aca="false">IFERROR(ROUND(IF(H77&gt;=10,30,IF(H77&gt;=5,20,IF(H77&gt;=2,10,0)))+IF(K77="Yes",20,IF(K77="Unsure",10,0))+IF(U77="Yes",30,IF(U77="Later",15,0))+IFERROR(T77/100*20,0),0),"")</f>
        <v>0</v>
      </c>
      <c r="Z77" s="11" t="str">
        <f aca="false">IFERROR(IF(Y77&gt;=80,"🔥 HOT",IF(Y77&gt;=60,"✅ STRONG",IF(Y77&gt;=40,"⚡ WARM",IF(Y77&gt;=20,"📋 NURTURE",IF(Y77&gt;0,"❌ COLD",""))))),"")</f>
        <v/>
      </c>
      <c r="AA77" s="11" t="str">
        <f aca="false">IFERROR(IF(AND(Y77&gt;=60,OR(U77="Yes",U77="Later")),"🚨 URGENT",IF(AND(Y77&gt;=40,I77="Call Back"),"📞 CALL BACK",IF(I77="Booked Meeting","📅 BOOKED",IF(I77="Not Interested","🚫 DEAD","⏳ WORKING")))),"")</f>
        <v>⏳ WORKING</v>
      </c>
      <c r="AB77" s="14"/>
      <c r="AC77" s="15"/>
      <c r="AD77" s="16" t="str">
        <f aca="true">IFERROR(IF(AC77="","",AC77-TODAY()),"")</f>
        <v/>
      </c>
      <c r="AE77" s="10"/>
    </row>
    <row r="78" customFormat="false" ht="19.5" hidden="false" customHeight="true" outlineLevel="0" collapsed="false">
      <c r="A78" s="17"/>
      <c r="B78" s="17"/>
      <c r="C78" s="17"/>
      <c r="D78" s="17"/>
      <c r="E78" s="17"/>
      <c r="F78" s="17"/>
      <c r="G78" s="17"/>
      <c r="H78" s="18"/>
      <c r="I78" s="17"/>
      <c r="J78" s="17"/>
      <c r="K78" s="18"/>
      <c r="L78" s="17"/>
      <c r="M78" s="17"/>
      <c r="N78" s="17"/>
      <c r="O78" s="17"/>
      <c r="P78" s="17"/>
      <c r="Q78" s="17"/>
      <c r="R78" s="17"/>
      <c r="S78" s="17"/>
      <c r="T78" s="19" t="n">
        <f aca="false">IFERROR(ROUND((IF(O78="Severe",4,IF(O78="Moderate",3,IF(O78="Minor",2,0)))+IF(P78="Severe",4,IF(P78="Moderate",3,IF(P78="Minor",2,0)))+IF(Q78="Severe",4,IF(Q78="Moderate",3,IF(Q78="Minor",2,0)))+IF(R78="Severe",4,IF(R78="Moderate",3,IF(R78="Minor",2,0))))/16*100,0),"")</f>
        <v>0</v>
      </c>
      <c r="U78" s="18"/>
      <c r="V78" s="17"/>
      <c r="W78" s="17"/>
      <c r="X78" s="17"/>
      <c r="Y78" s="20" t="n">
        <f aca="false">IFERROR(ROUND(IF(H78&gt;=10,30,IF(H78&gt;=5,20,IF(H78&gt;=2,10,0)))+IF(K78="Yes",20,IF(K78="Unsure",10,0))+IF(U78="Yes",30,IF(U78="Later",15,0))+IFERROR(T78/100*20,0),0),"")</f>
        <v>0</v>
      </c>
      <c r="Z78" s="18" t="str">
        <f aca="false">IFERROR(IF(Y78&gt;=80,"🔥 HOT",IF(Y78&gt;=60,"✅ STRONG",IF(Y78&gt;=40,"⚡ WARM",IF(Y78&gt;=20,"📋 NURTURE",IF(Y78&gt;0,"❌ COLD",""))))),"")</f>
        <v/>
      </c>
      <c r="AA78" s="18" t="str">
        <f aca="false">IFERROR(IF(AND(Y78&gt;=60,OR(U78="Yes",U78="Later")),"🚨 URGENT",IF(AND(Y78&gt;=40,I78="Call Back"),"📞 CALL BACK",IF(I78="Booked Meeting","📅 BOOKED",IF(I78="Not Interested","🚫 DEAD","⏳ WORKING")))),"")</f>
        <v>⏳ WORKING</v>
      </c>
      <c r="AB78" s="21"/>
      <c r="AC78" s="22"/>
      <c r="AD78" s="23" t="str">
        <f aca="true">IFERROR(IF(AC78="","",AC78-TODAY()),"")</f>
        <v/>
      </c>
      <c r="AE78" s="17"/>
    </row>
    <row r="79" customFormat="false" ht="19.5" hidden="false" customHeight="true" outlineLevel="0" collapsed="false">
      <c r="A79" s="10"/>
      <c r="B79" s="10"/>
      <c r="C79" s="10"/>
      <c r="D79" s="10"/>
      <c r="E79" s="10"/>
      <c r="F79" s="10"/>
      <c r="G79" s="10"/>
      <c r="H79" s="11"/>
      <c r="I79" s="10"/>
      <c r="J79" s="10"/>
      <c r="K79" s="11"/>
      <c r="L79" s="10"/>
      <c r="M79" s="10"/>
      <c r="N79" s="10"/>
      <c r="O79" s="10"/>
      <c r="P79" s="10"/>
      <c r="Q79" s="10"/>
      <c r="R79" s="10"/>
      <c r="S79" s="10"/>
      <c r="T79" s="12" t="n">
        <f aca="false">IFERROR(ROUND((IF(O79="Severe",4,IF(O79="Moderate",3,IF(O79="Minor",2,0)))+IF(P79="Severe",4,IF(P79="Moderate",3,IF(P79="Minor",2,0)))+IF(Q79="Severe",4,IF(Q79="Moderate",3,IF(Q79="Minor",2,0)))+IF(R79="Severe",4,IF(R79="Moderate",3,IF(R79="Minor",2,0))))/16*100,0),"")</f>
        <v>0</v>
      </c>
      <c r="U79" s="11"/>
      <c r="V79" s="10"/>
      <c r="W79" s="10"/>
      <c r="X79" s="10"/>
      <c r="Y79" s="13" t="n">
        <f aca="false">IFERROR(ROUND(IF(H79&gt;=10,30,IF(H79&gt;=5,20,IF(H79&gt;=2,10,0)))+IF(K79="Yes",20,IF(K79="Unsure",10,0))+IF(U79="Yes",30,IF(U79="Later",15,0))+IFERROR(T79/100*20,0),0),"")</f>
        <v>0</v>
      </c>
      <c r="Z79" s="11" t="str">
        <f aca="false">IFERROR(IF(Y79&gt;=80,"🔥 HOT",IF(Y79&gt;=60,"✅ STRONG",IF(Y79&gt;=40,"⚡ WARM",IF(Y79&gt;=20,"📋 NURTURE",IF(Y79&gt;0,"❌ COLD",""))))),"")</f>
        <v/>
      </c>
      <c r="AA79" s="11" t="str">
        <f aca="false">IFERROR(IF(AND(Y79&gt;=60,OR(U79="Yes",U79="Later")),"🚨 URGENT",IF(AND(Y79&gt;=40,I79="Call Back"),"📞 CALL BACK",IF(I79="Booked Meeting","📅 BOOKED",IF(I79="Not Interested","🚫 DEAD","⏳ WORKING")))),"")</f>
        <v>⏳ WORKING</v>
      </c>
      <c r="AB79" s="14"/>
      <c r="AC79" s="15"/>
      <c r="AD79" s="16" t="str">
        <f aca="true">IFERROR(IF(AC79="","",AC79-TODAY()),"")</f>
        <v/>
      </c>
      <c r="AE79" s="10"/>
    </row>
    <row r="80" customFormat="false" ht="19.5" hidden="false" customHeight="true" outlineLevel="0" collapsed="false">
      <c r="A80" s="17"/>
      <c r="B80" s="17"/>
      <c r="C80" s="17"/>
      <c r="D80" s="17"/>
      <c r="E80" s="17"/>
      <c r="F80" s="17"/>
      <c r="G80" s="17"/>
      <c r="H80" s="18"/>
      <c r="I80" s="17"/>
      <c r="J80" s="17"/>
      <c r="K80" s="18"/>
      <c r="L80" s="17"/>
      <c r="M80" s="17"/>
      <c r="N80" s="17"/>
      <c r="O80" s="17"/>
      <c r="P80" s="17"/>
      <c r="Q80" s="17"/>
      <c r="R80" s="17"/>
      <c r="S80" s="17"/>
      <c r="T80" s="19" t="n">
        <f aca="false">IFERROR(ROUND((IF(O80="Severe",4,IF(O80="Moderate",3,IF(O80="Minor",2,0)))+IF(P80="Severe",4,IF(P80="Moderate",3,IF(P80="Minor",2,0)))+IF(Q80="Severe",4,IF(Q80="Moderate",3,IF(Q80="Minor",2,0)))+IF(R80="Severe",4,IF(R80="Moderate",3,IF(R80="Minor",2,0))))/16*100,0),"")</f>
        <v>0</v>
      </c>
      <c r="U80" s="18"/>
      <c r="V80" s="17"/>
      <c r="W80" s="17"/>
      <c r="X80" s="17"/>
      <c r="Y80" s="20" t="n">
        <f aca="false">IFERROR(ROUND(IF(H80&gt;=10,30,IF(H80&gt;=5,20,IF(H80&gt;=2,10,0)))+IF(K80="Yes",20,IF(K80="Unsure",10,0))+IF(U80="Yes",30,IF(U80="Later",15,0))+IFERROR(T80/100*20,0),0),"")</f>
        <v>0</v>
      </c>
      <c r="Z80" s="18" t="str">
        <f aca="false">IFERROR(IF(Y80&gt;=80,"🔥 HOT",IF(Y80&gt;=60,"✅ STRONG",IF(Y80&gt;=40,"⚡ WARM",IF(Y80&gt;=20,"📋 NURTURE",IF(Y80&gt;0,"❌ COLD",""))))),"")</f>
        <v/>
      </c>
      <c r="AA80" s="18" t="str">
        <f aca="false">IFERROR(IF(AND(Y80&gt;=60,OR(U80="Yes",U80="Later")),"🚨 URGENT",IF(AND(Y80&gt;=40,I80="Call Back"),"📞 CALL BACK",IF(I80="Booked Meeting","📅 BOOKED",IF(I80="Not Interested","🚫 DEAD","⏳ WORKING")))),"")</f>
        <v>⏳ WORKING</v>
      </c>
      <c r="AB80" s="21"/>
      <c r="AC80" s="22"/>
      <c r="AD80" s="23" t="str">
        <f aca="true">IFERROR(IF(AC80="","",AC80-TODAY()),"")</f>
        <v/>
      </c>
      <c r="AE80" s="17"/>
    </row>
    <row r="81" customFormat="false" ht="19.5" hidden="false" customHeight="true" outlineLevel="0" collapsed="false">
      <c r="A81" s="10"/>
      <c r="B81" s="10"/>
      <c r="C81" s="10"/>
      <c r="D81" s="10"/>
      <c r="E81" s="10"/>
      <c r="F81" s="10"/>
      <c r="G81" s="10"/>
      <c r="H81" s="11"/>
      <c r="I81" s="10"/>
      <c r="J81" s="10"/>
      <c r="K81" s="11"/>
      <c r="L81" s="10"/>
      <c r="M81" s="10"/>
      <c r="N81" s="10"/>
      <c r="O81" s="10"/>
      <c r="P81" s="10"/>
      <c r="Q81" s="10"/>
      <c r="R81" s="10"/>
      <c r="S81" s="10"/>
      <c r="T81" s="12" t="n">
        <f aca="false">IFERROR(ROUND((IF(O81="Severe",4,IF(O81="Moderate",3,IF(O81="Minor",2,0)))+IF(P81="Severe",4,IF(P81="Moderate",3,IF(P81="Minor",2,0)))+IF(Q81="Severe",4,IF(Q81="Moderate",3,IF(Q81="Minor",2,0)))+IF(R81="Severe",4,IF(R81="Moderate",3,IF(R81="Minor",2,0))))/16*100,0),"")</f>
        <v>0</v>
      </c>
      <c r="U81" s="11"/>
      <c r="V81" s="10"/>
      <c r="W81" s="10"/>
      <c r="X81" s="10"/>
      <c r="Y81" s="13" t="n">
        <f aca="false">IFERROR(ROUND(IF(H81&gt;=10,30,IF(H81&gt;=5,20,IF(H81&gt;=2,10,0)))+IF(K81="Yes",20,IF(K81="Unsure",10,0))+IF(U81="Yes",30,IF(U81="Later",15,0))+IFERROR(T81/100*20,0),0),"")</f>
        <v>0</v>
      </c>
      <c r="Z81" s="11" t="str">
        <f aca="false">IFERROR(IF(Y81&gt;=80,"🔥 HOT",IF(Y81&gt;=60,"✅ STRONG",IF(Y81&gt;=40,"⚡ WARM",IF(Y81&gt;=20,"📋 NURTURE",IF(Y81&gt;0,"❌ COLD",""))))),"")</f>
        <v/>
      </c>
      <c r="AA81" s="11" t="str">
        <f aca="false">IFERROR(IF(AND(Y81&gt;=60,OR(U81="Yes",U81="Later")),"🚨 URGENT",IF(AND(Y81&gt;=40,I81="Call Back"),"📞 CALL BACK",IF(I81="Booked Meeting","📅 BOOKED",IF(I81="Not Interested","🚫 DEAD","⏳ WORKING")))),"")</f>
        <v>⏳ WORKING</v>
      </c>
      <c r="AB81" s="14"/>
      <c r="AC81" s="15"/>
      <c r="AD81" s="16" t="str">
        <f aca="true">IFERROR(IF(AC81="","",AC81-TODAY()),"")</f>
        <v/>
      </c>
      <c r="AE81" s="10"/>
    </row>
    <row r="82" customFormat="false" ht="19.5" hidden="false" customHeight="true" outlineLevel="0" collapsed="false">
      <c r="A82" s="17"/>
      <c r="B82" s="17"/>
      <c r="C82" s="17"/>
      <c r="D82" s="17"/>
      <c r="E82" s="17"/>
      <c r="F82" s="17"/>
      <c r="G82" s="17"/>
      <c r="H82" s="18"/>
      <c r="I82" s="17"/>
      <c r="J82" s="17"/>
      <c r="K82" s="18"/>
      <c r="L82" s="17"/>
      <c r="M82" s="17"/>
      <c r="N82" s="17"/>
      <c r="O82" s="17"/>
      <c r="P82" s="17"/>
      <c r="Q82" s="17"/>
      <c r="R82" s="17"/>
      <c r="S82" s="17"/>
      <c r="T82" s="19" t="n">
        <f aca="false">IFERROR(ROUND((IF(O82="Severe",4,IF(O82="Moderate",3,IF(O82="Minor",2,0)))+IF(P82="Severe",4,IF(P82="Moderate",3,IF(P82="Minor",2,0)))+IF(Q82="Severe",4,IF(Q82="Moderate",3,IF(Q82="Minor",2,0)))+IF(R82="Severe",4,IF(R82="Moderate",3,IF(R82="Minor",2,0))))/16*100,0),"")</f>
        <v>0</v>
      </c>
      <c r="U82" s="18"/>
      <c r="V82" s="17"/>
      <c r="W82" s="17"/>
      <c r="X82" s="17"/>
      <c r="Y82" s="20" t="n">
        <f aca="false">IFERROR(ROUND(IF(H82&gt;=10,30,IF(H82&gt;=5,20,IF(H82&gt;=2,10,0)))+IF(K82="Yes",20,IF(K82="Unsure",10,0))+IF(U82="Yes",30,IF(U82="Later",15,0))+IFERROR(T82/100*20,0),0),"")</f>
        <v>0</v>
      </c>
      <c r="Z82" s="18" t="str">
        <f aca="false">IFERROR(IF(Y82&gt;=80,"🔥 HOT",IF(Y82&gt;=60,"✅ STRONG",IF(Y82&gt;=40,"⚡ WARM",IF(Y82&gt;=20,"📋 NURTURE",IF(Y82&gt;0,"❌ COLD",""))))),"")</f>
        <v/>
      </c>
      <c r="AA82" s="18" t="str">
        <f aca="false">IFERROR(IF(AND(Y82&gt;=60,OR(U82="Yes",U82="Later")),"🚨 URGENT",IF(AND(Y82&gt;=40,I82="Call Back"),"📞 CALL BACK",IF(I82="Booked Meeting","📅 BOOKED",IF(I82="Not Interested","🚫 DEAD","⏳ WORKING")))),"")</f>
        <v>⏳ WORKING</v>
      </c>
      <c r="AB82" s="21"/>
      <c r="AC82" s="22"/>
      <c r="AD82" s="23" t="str">
        <f aca="true">IFERROR(IF(AC82="","",AC82-TODAY()),"")</f>
        <v/>
      </c>
      <c r="AE82" s="17"/>
    </row>
    <row r="83" customFormat="false" ht="19.5" hidden="false" customHeight="true" outlineLevel="0" collapsed="false">
      <c r="A83" s="10"/>
      <c r="B83" s="10"/>
      <c r="C83" s="10"/>
      <c r="D83" s="10"/>
      <c r="E83" s="10"/>
      <c r="F83" s="10"/>
      <c r="G83" s="10"/>
      <c r="H83" s="11"/>
      <c r="I83" s="10"/>
      <c r="J83" s="10"/>
      <c r="K83" s="11"/>
      <c r="L83" s="10"/>
      <c r="M83" s="10"/>
      <c r="N83" s="10"/>
      <c r="O83" s="10"/>
      <c r="P83" s="10"/>
      <c r="Q83" s="10"/>
      <c r="R83" s="10"/>
      <c r="S83" s="10"/>
      <c r="T83" s="12" t="n">
        <f aca="false">IFERROR(ROUND((IF(O83="Severe",4,IF(O83="Moderate",3,IF(O83="Minor",2,0)))+IF(P83="Severe",4,IF(P83="Moderate",3,IF(P83="Minor",2,0)))+IF(Q83="Severe",4,IF(Q83="Moderate",3,IF(Q83="Minor",2,0)))+IF(R83="Severe",4,IF(R83="Moderate",3,IF(R83="Minor",2,0))))/16*100,0),"")</f>
        <v>0</v>
      </c>
      <c r="U83" s="11"/>
      <c r="V83" s="10"/>
      <c r="W83" s="10"/>
      <c r="X83" s="10"/>
      <c r="Y83" s="13" t="n">
        <f aca="false">IFERROR(ROUND(IF(H83&gt;=10,30,IF(H83&gt;=5,20,IF(H83&gt;=2,10,0)))+IF(K83="Yes",20,IF(K83="Unsure",10,0))+IF(U83="Yes",30,IF(U83="Later",15,0))+IFERROR(T83/100*20,0),0),"")</f>
        <v>0</v>
      </c>
      <c r="Z83" s="11" t="str">
        <f aca="false">IFERROR(IF(Y83&gt;=80,"🔥 HOT",IF(Y83&gt;=60,"✅ STRONG",IF(Y83&gt;=40,"⚡ WARM",IF(Y83&gt;=20,"📋 NURTURE",IF(Y83&gt;0,"❌ COLD",""))))),"")</f>
        <v/>
      </c>
      <c r="AA83" s="11" t="str">
        <f aca="false">IFERROR(IF(AND(Y83&gt;=60,OR(U83="Yes",U83="Later")),"🚨 URGENT",IF(AND(Y83&gt;=40,I83="Call Back"),"📞 CALL BACK",IF(I83="Booked Meeting","📅 BOOKED",IF(I83="Not Interested","🚫 DEAD","⏳ WORKING")))),"")</f>
        <v>⏳ WORKING</v>
      </c>
      <c r="AB83" s="14"/>
      <c r="AC83" s="15"/>
      <c r="AD83" s="16" t="str">
        <f aca="true">IFERROR(IF(AC83="","",AC83-TODAY()),"")</f>
        <v/>
      </c>
      <c r="AE83" s="10"/>
    </row>
    <row r="84" customFormat="false" ht="19.5" hidden="false" customHeight="true" outlineLevel="0" collapsed="false">
      <c r="A84" s="17"/>
      <c r="B84" s="17"/>
      <c r="C84" s="17"/>
      <c r="D84" s="17"/>
      <c r="E84" s="17"/>
      <c r="F84" s="17"/>
      <c r="G84" s="17"/>
      <c r="H84" s="18"/>
      <c r="I84" s="17"/>
      <c r="J84" s="17"/>
      <c r="K84" s="18"/>
      <c r="L84" s="17"/>
      <c r="M84" s="17"/>
      <c r="N84" s="17"/>
      <c r="O84" s="17"/>
      <c r="P84" s="17"/>
      <c r="Q84" s="17"/>
      <c r="R84" s="17"/>
      <c r="S84" s="17"/>
      <c r="T84" s="19" t="n">
        <f aca="false">IFERROR(ROUND((IF(O84="Severe",4,IF(O84="Moderate",3,IF(O84="Minor",2,0)))+IF(P84="Severe",4,IF(P84="Moderate",3,IF(P84="Minor",2,0)))+IF(Q84="Severe",4,IF(Q84="Moderate",3,IF(Q84="Minor",2,0)))+IF(R84="Severe",4,IF(R84="Moderate",3,IF(R84="Minor",2,0))))/16*100,0),"")</f>
        <v>0</v>
      </c>
      <c r="U84" s="18"/>
      <c r="V84" s="17"/>
      <c r="W84" s="17"/>
      <c r="X84" s="17"/>
      <c r="Y84" s="20" t="n">
        <f aca="false">IFERROR(ROUND(IF(H84&gt;=10,30,IF(H84&gt;=5,20,IF(H84&gt;=2,10,0)))+IF(K84="Yes",20,IF(K84="Unsure",10,0))+IF(U84="Yes",30,IF(U84="Later",15,0))+IFERROR(T84/100*20,0),0),"")</f>
        <v>0</v>
      </c>
      <c r="Z84" s="18" t="str">
        <f aca="false">IFERROR(IF(Y84&gt;=80,"🔥 HOT",IF(Y84&gt;=60,"✅ STRONG",IF(Y84&gt;=40,"⚡ WARM",IF(Y84&gt;=20,"📋 NURTURE",IF(Y84&gt;0,"❌ COLD",""))))),"")</f>
        <v/>
      </c>
      <c r="AA84" s="18" t="str">
        <f aca="false">IFERROR(IF(AND(Y84&gt;=60,OR(U84="Yes",U84="Later")),"🚨 URGENT",IF(AND(Y84&gt;=40,I84="Call Back"),"📞 CALL BACK",IF(I84="Booked Meeting","📅 BOOKED",IF(I84="Not Interested","🚫 DEAD","⏳ WORKING")))),"")</f>
        <v>⏳ WORKING</v>
      </c>
      <c r="AB84" s="21"/>
      <c r="AC84" s="22"/>
      <c r="AD84" s="23" t="str">
        <f aca="true">IFERROR(IF(AC84="","",AC84-TODAY()),"")</f>
        <v/>
      </c>
      <c r="AE84" s="17"/>
    </row>
    <row r="85" customFormat="false" ht="19.5" hidden="false" customHeight="true" outlineLevel="0" collapsed="false">
      <c r="A85" s="10"/>
      <c r="B85" s="10"/>
      <c r="C85" s="10"/>
      <c r="D85" s="10"/>
      <c r="E85" s="10"/>
      <c r="F85" s="10"/>
      <c r="G85" s="10"/>
      <c r="H85" s="11"/>
      <c r="I85" s="10"/>
      <c r="J85" s="10"/>
      <c r="K85" s="11"/>
      <c r="L85" s="10"/>
      <c r="M85" s="10"/>
      <c r="N85" s="10"/>
      <c r="O85" s="10"/>
      <c r="P85" s="10"/>
      <c r="Q85" s="10"/>
      <c r="R85" s="10"/>
      <c r="S85" s="10"/>
      <c r="T85" s="12" t="n">
        <f aca="false">IFERROR(ROUND((IF(O85="Severe",4,IF(O85="Moderate",3,IF(O85="Minor",2,0)))+IF(P85="Severe",4,IF(P85="Moderate",3,IF(P85="Minor",2,0)))+IF(Q85="Severe",4,IF(Q85="Moderate",3,IF(Q85="Minor",2,0)))+IF(R85="Severe",4,IF(R85="Moderate",3,IF(R85="Minor",2,0))))/16*100,0),"")</f>
        <v>0</v>
      </c>
      <c r="U85" s="11"/>
      <c r="V85" s="10"/>
      <c r="W85" s="10"/>
      <c r="X85" s="10"/>
      <c r="Y85" s="13" t="n">
        <f aca="false">IFERROR(ROUND(IF(H85&gt;=10,30,IF(H85&gt;=5,20,IF(H85&gt;=2,10,0)))+IF(K85="Yes",20,IF(K85="Unsure",10,0))+IF(U85="Yes",30,IF(U85="Later",15,0))+IFERROR(T85/100*20,0),0),"")</f>
        <v>0</v>
      </c>
      <c r="Z85" s="11" t="str">
        <f aca="false">IFERROR(IF(Y85&gt;=80,"🔥 HOT",IF(Y85&gt;=60,"✅ STRONG",IF(Y85&gt;=40,"⚡ WARM",IF(Y85&gt;=20,"📋 NURTURE",IF(Y85&gt;0,"❌ COLD",""))))),"")</f>
        <v/>
      </c>
      <c r="AA85" s="11" t="str">
        <f aca="false">IFERROR(IF(AND(Y85&gt;=60,OR(U85="Yes",U85="Later")),"🚨 URGENT",IF(AND(Y85&gt;=40,I85="Call Back"),"📞 CALL BACK",IF(I85="Booked Meeting","📅 BOOKED",IF(I85="Not Interested","🚫 DEAD","⏳ WORKING")))),"")</f>
        <v>⏳ WORKING</v>
      </c>
      <c r="AB85" s="14"/>
      <c r="AC85" s="15"/>
      <c r="AD85" s="16" t="str">
        <f aca="true">IFERROR(IF(AC85="","",AC85-TODAY()),"")</f>
        <v/>
      </c>
      <c r="AE85" s="10"/>
    </row>
    <row r="86" customFormat="false" ht="19.5" hidden="false" customHeight="true" outlineLevel="0" collapsed="false">
      <c r="A86" s="17"/>
      <c r="B86" s="17"/>
      <c r="C86" s="17"/>
      <c r="D86" s="17"/>
      <c r="E86" s="17"/>
      <c r="F86" s="17"/>
      <c r="G86" s="17"/>
      <c r="H86" s="18"/>
      <c r="I86" s="17"/>
      <c r="J86" s="17"/>
      <c r="K86" s="18"/>
      <c r="L86" s="17"/>
      <c r="M86" s="17"/>
      <c r="N86" s="17"/>
      <c r="O86" s="17"/>
      <c r="P86" s="17"/>
      <c r="Q86" s="17"/>
      <c r="R86" s="17"/>
      <c r="S86" s="17"/>
      <c r="T86" s="19" t="n">
        <f aca="false">IFERROR(ROUND((IF(O86="Severe",4,IF(O86="Moderate",3,IF(O86="Minor",2,0)))+IF(P86="Severe",4,IF(P86="Moderate",3,IF(P86="Minor",2,0)))+IF(Q86="Severe",4,IF(Q86="Moderate",3,IF(Q86="Minor",2,0)))+IF(R86="Severe",4,IF(R86="Moderate",3,IF(R86="Minor",2,0))))/16*100,0),"")</f>
        <v>0</v>
      </c>
      <c r="U86" s="18"/>
      <c r="V86" s="17"/>
      <c r="W86" s="17"/>
      <c r="X86" s="17"/>
      <c r="Y86" s="20" t="n">
        <f aca="false">IFERROR(ROUND(IF(H86&gt;=10,30,IF(H86&gt;=5,20,IF(H86&gt;=2,10,0)))+IF(K86="Yes",20,IF(K86="Unsure",10,0))+IF(U86="Yes",30,IF(U86="Later",15,0))+IFERROR(T86/100*20,0),0),"")</f>
        <v>0</v>
      </c>
      <c r="Z86" s="18" t="str">
        <f aca="false">IFERROR(IF(Y86&gt;=80,"🔥 HOT",IF(Y86&gt;=60,"✅ STRONG",IF(Y86&gt;=40,"⚡ WARM",IF(Y86&gt;=20,"📋 NURTURE",IF(Y86&gt;0,"❌ COLD",""))))),"")</f>
        <v/>
      </c>
      <c r="AA86" s="18" t="str">
        <f aca="false">IFERROR(IF(AND(Y86&gt;=60,OR(U86="Yes",U86="Later")),"🚨 URGENT",IF(AND(Y86&gt;=40,I86="Call Back"),"📞 CALL BACK",IF(I86="Booked Meeting","📅 BOOKED",IF(I86="Not Interested","🚫 DEAD","⏳ WORKING")))),"")</f>
        <v>⏳ WORKING</v>
      </c>
      <c r="AB86" s="21"/>
      <c r="AC86" s="22"/>
      <c r="AD86" s="23" t="str">
        <f aca="true">IFERROR(IF(AC86="","",AC86-TODAY()),"")</f>
        <v/>
      </c>
      <c r="AE86" s="17"/>
    </row>
    <row r="87" customFormat="false" ht="19.5" hidden="false" customHeight="true" outlineLevel="0" collapsed="false">
      <c r="A87" s="10"/>
      <c r="B87" s="10"/>
      <c r="C87" s="10"/>
      <c r="D87" s="10"/>
      <c r="E87" s="10"/>
      <c r="F87" s="10"/>
      <c r="G87" s="10"/>
      <c r="H87" s="11"/>
      <c r="I87" s="10"/>
      <c r="J87" s="10"/>
      <c r="K87" s="11"/>
      <c r="L87" s="10"/>
      <c r="M87" s="10"/>
      <c r="N87" s="10"/>
      <c r="O87" s="10"/>
      <c r="P87" s="10"/>
      <c r="Q87" s="10"/>
      <c r="R87" s="10"/>
      <c r="S87" s="10"/>
      <c r="T87" s="12" t="n">
        <f aca="false">IFERROR(ROUND((IF(O87="Severe",4,IF(O87="Moderate",3,IF(O87="Minor",2,0)))+IF(P87="Severe",4,IF(P87="Moderate",3,IF(P87="Minor",2,0)))+IF(Q87="Severe",4,IF(Q87="Moderate",3,IF(Q87="Minor",2,0)))+IF(R87="Severe",4,IF(R87="Moderate",3,IF(R87="Minor",2,0))))/16*100,0),"")</f>
        <v>0</v>
      </c>
      <c r="U87" s="11"/>
      <c r="V87" s="10"/>
      <c r="W87" s="10"/>
      <c r="X87" s="10"/>
      <c r="Y87" s="13" t="n">
        <f aca="false">IFERROR(ROUND(IF(H87&gt;=10,30,IF(H87&gt;=5,20,IF(H87&gt;=2,10,0)))+IF(K87="Yes",20,IF(K87="Unsure",10,0))+IF(U87="Yes",30,IF(U87="Later",15,0))+IFERROR(T87/100*20,0),0),"")</f>
        <v>0</v>
      </c>
      <c r="Z87" s="11" t="str">
        <f aca="false">IFERROR(IF(Y87&gt;=80,"🔥 HOT",IF(Y87&gt;=60,"✅ STRONG",IF(Y87&gt;=40,"⚡ WARM",IF(Y87&gt;=20,"📋 NURTURE",IF(Y87&gt;0,"❌ COLD",""))))),"")</f>
        <v/>
      </c>
      <c r="AA87" s="11" t="str">
        <f aca="false">IFERROR(IF(AND(Y87&gt;=60,OR(U87="Yes",U87="Later")),"🚨 URGENT",IF(AND(Y87&gt;=40,I87="Call Back"),"📞 CALL BACK",IF(I87="Booked Meeting","📅 BOOKED",IF(I87="Not Interested","🚫 DEAD","⏳ WORKING")))),"")</f>
        <v>⏳ WORKING</v>
      </c>
      <c r="AB87" s="14"/>
      <c r="AC87" s="15"/>
      <c r="AD87" s="16" t="str">
        <f aca="true">IFERROR(IF(AC87="","",AC87-TODAY()),"")</f>
        <v/>
      </c>
      <c r="AE87" s="10"/>
    </row>
    <row r="88" customFormat="false" ht="19.5" hidden="false" customHeight="true" outlineLevel="0" collapsed="false">
      <c r="A88" s="17"/>
      <c r="B88" s="17"/>
      <c r="C88" s="17"/>
      <c r="D88" s="17"/>
      <c r="E88" s="17"/>
      <c r="F88" s="17"/>
      <c r="G88" s="17"/>
      <c r="H88" s="18"/>
      <c r="I88" s="17"/>
      <c r="J88" s="17"/>
      <c r="K88" s="18"/>
      <c r="L88" s="17"/>
      <c r="M88" s="17"/>
      <c r="N88" s="17"/>
      <c r="O88" s="17"/>
      <c r="P88" s="17"/>
      <c r="Q88" s="17"/>
      <c r="R88" s="17"/>
      <c r="S88" s="17"/>
      <c r="T88" s="19" t="n">
        <f aca="false">IFERROR(ROUND((IF(O88="Severe",4,IF(O88="Moderate",3,IF(O88="Minor",2,0)))+IF(P88="Severe",4,IF(P88="Moderate",3,IF(P88="Minor",2,0)))+IF(Q88="Severe",4,IF(Q88="Moderate",3,IF(Q88="Minor",2,0)))+IF(R88="Severe",4,IF(R88="Moderate",3,IF(R88="Minor",2,0))))/16*100,0),"")</f>
        <v>0</v>
      </c>
      <c r="U88" s="18"/>
      <c r="V88" s="17"/>
      <c r="W88" s="17"/>
      <c r="X88" s="17"/>
      <c r="Y88" s="20" t="n">
        <f aca="false">IFERROR(ROUND(IF(H88&gt;=10,30,IF(H88&gt;=5,20,IF(H88&gt;=2,10,0)))+IF(K88="Yes",20,IF(K88="Unsure",10,0))+IF(U88="Yes",30,IF(U88="Later",15,0))+IFERROR(T88/100*20,0),0),"")</f>
        <v>0</v>
      </c>
      <c r="Z88" s="18" t="str">
        <f aca="false">IFERROR(IF(Y88&gt;=80,"🔥 HOT",IF(Y88&gt;=60,"✅ STRONG",IF(Y88&gt;=40,"⚡ WARM",IF(Y88&gt;=20,"📋 NURTURE",IF(Y88&gt;0,"❌ COLD",""))))),"")</f>
        <v/>
      </c>
      <c r="AA88" s="18" t="str">
        <f aca="false">IFERROR(IF(AND(Y88&gt;=60,OR(U88="Yes",U88="Later")),"🚨 URGENT",IF(AND(Y88&gt;=40,I88="Call Back"),"📞 CALL BACK",IF(I88="Booked Meeting","📅 BOOKED",IF(I88="Not Interested","🚫 DEAD","⏳ WORKING")))),"")</f>
        <v>⏳ WORKING</v>
      </c>
      <c r="AB88" s="21"/>
      <c r="AC88" s="22"/>
      <c r="AD88" s="23" t="str">
        <f aca="true">IFERROR(IF(AC88="","",AC88-TODAY()),"")</f>
        <v/>
      </c>
      <c r="AE88" s="17"/>
    </row>
    <row r="89" customFormat="false" ht="19.5" hidden="false" customHeight="true" outlineLevel="0" collapsed="false">
      <c r="A89" s="10"/>
      <c r="B89" s="10"/>
      <c r="C89" s="10"/>
      <c r="D89" s="10"/>
      <c r="E89" s="10"/>
      <c r="F89" s="10"/>
      <c r="G89" s="10"/>
      <c r="H89" s="11"/>
      <c r="I89" s="10"/>
      <c r="J89" s="10"/>
      <c r="K89" s="11"/>
      <c r="L89" s="10"/>
      <c r="M89" s="10"/>
      <c r="N89" s="10"/>
      <c r="O89" s="10"/>
      <c r="P89" s="10"/>
      <c r="Q89" s="10"/>
      <c r="R89" s="10"/>
      <c r="S89" s="10"/>
      <c r="T89" s="12" t="n">
        <f aca="false">IFERROR(ROUND((IF(O89="Severe",4,IF(O89="Moderate",3,IF(O89="Minor",2,0)))+IF(P89="Severe",4,IF(P89="Moderate",3,IF(P89="Minor",2,0)))+IF(Q89="Severe",4,IF(Q89="Moderate",3,IF(Q89="Minor",2,0)))+IF(R89="Severe",4,IF(R89="Moderate",3,IF(R89="Minor",2,0))))/16*100,0),"")</f>
        <v>0</v>
      </c>
      <c r="U89" s="11"/>
      <c r="V89" s="10"/>
      <c r="W89" s="10"/>
      <c r="X89" s="10"/>
      <c r="Y89" s="13" t="n">
        <f aca="false">IFERROR(ROUND(IF(H89&gt;=10,30,IF(H89&gt;=5,20,IF(H89&gt;=2,10,0)))+IF(K89="Yes",20,IF(K89="Unsure",10,0))+IF(U89="Yes",30,IF(U89="Later",15,0))+IFERROR(T89/100*20,0),0),"")</f>
        <v>0</v>
      </c>
      <c r="Z89" s="11" t="str">
        <f aca="false">IFERROR(IF(Y89&gt;=80,"🔥 HOT",IF(Y89&gt;=60,"✅ STRONG",IF(Y89&gt;=40,"⚡ WARM",IF(Y89&gt;=20,"📋 NURTURE",IF(Y89&gt;0,"❌ COLD",""))))),"")</f>
        <v/>
      </c>
      <c r="AA89" s="11" t="str">
        <f aca="false">IFERROR(IF(AND(Y89&gt;=60,OR(U89="Yes",U89="Later")),"🚨 URGENT",IF(AND(Y89&gt;=40,I89="Call Back"),"📞 CALL BACK",IF(I89="Booked Meeting","📅 BOOKED",IF(I89="Not Interested","🚫 DEAD","⏳ WORKING")))),"")</f>
        <v>⏳ WORKING</v>
      </c>
      <c r="AB89" s="14"/>
      <c r="AC89" s="15"/>
      <c r="AD89" s="16" t="str">
        <f aca="true">IFERROR(IF(AC89="","",AC89-TODAY()),"")</f>
        <v/>
      </c>
      <c r="AE89" s="10"/>
    </row>
    <row r="90" customFormat="false" ht="19.5" hidden="false" customHeight="true" outlineLevel="0" collapsed="false">
      <c r="A90" s="17"/>
      <c r="B90" s="17"/>
      <c r="C90" s="17"/>
      <c r="D90" s="17"/>
      <c r="E90" s="17"/>
      <c r="F90" s="17"/>
      <c r="G90" s="17"/>
      <c r="H90" s="18"/>
      <c r="I90" s="17"/>
      <c r="J90" s="17"/>
      <c r="K90" s="18"/>
      <c r="L90" s="17"/>
      <c r="M90" s="17"/>
      <c r="N90" s="17"/>
      <c r="O90" s="17"/>
      <c r="P90" s="17"/>
      <c r="Q90" s="17"/>
      <c r="R90" s="17"/>
      <c r="S90" s="17"/>
      <c r="T90" s="19" t="n">
        <f aca="false">IFERROR(ROUND((IF(O90="Severe",4,IF(O90="Moderate",3,IF(O90="Minor",2,0)))+IF(P90="Severe",4,IF(P90="Moderate",3,IF(P90="Minor",2,0)))+IF(Q90="Severe",4,IF(Q90="Moderate",3,IF(Q90="Minor",2,0)))+IF(R90="Severe",4,IF(R90="Moderate",3,IF(R90="Minor",2,0))))/16*100,0),"")</f>
        <v>0</v>
      </c>
      <c r="U90" s="18"/>
      <c r="V90" s="17"/>
      <c r="W90" s="17"/>
      <c r="X90" s="17"/>
      <c r="Y90" s="20" t="n">
        <f aca="false">IFERROR(ROUND(IF(H90&gt;=10,30,IF(H90&gt;=5,20,IF(H90&gt;=2,10,0)))+IF(K90="Yes",20,IF(K90="Unsure",10,0))+IF(U90="Yes",30,IF(U90="Later",15,0))+IFERROR(T90/100*20,0),0),"")</f>
        <v>0</v>
      </c>
      <c r="Z90" s="18" t="str">
        <f aca="false">IFERROR(IF(Y90&gt;=80,"🔥 HOT",IF(Y90&gt;=60,"✅ STRONG",IF(Y90&gt;=40,"⚡ WARM",IF(Y90&gt;=20,"📋 NURTURE",IF(Y90&gt;0,"❌ COLD",""))))),"")</f>
        <v/>
      </c>
      <c r="AA90" s="18" t="str">
        <f aca="false">IFERROR(IF(AND(Y90&gt;=60,OR(U90="Yes",U90="Later")),"🚨 URGENT",IF(AND(Y90&gt;=40,I90="Call Back"),"📞 CALL BACK",IF(I90="Booked Meeting","📅 BOOKED",IF(I90="Not Interested","🚫 DEAD","⏳ WORKING")))),"")</f>
        <v>⏳ WORKING</v>
      </c>
      <c r="AB90" s="21"/>
      <c r="AC90" s="22"/>
      <c r="AD90" s="23" t="str">
        <f aca="true">IFERROR(IF(AC90="","",AC90-TODAY()),"")</f>
        <v/>
      </c>
      <c r="AE90" s="17"/>
    </row>
    <row r="91" customFormat="false" ht="19.5" hidden="false" customHeight="true" outlineLevel="0" collapsed="false">
      <c r="A91" s="10"/>
      <c r="B91" s="10"/>
      <c r="C91" s="10"/>
      <c r="D91" s="10"/>
      <c r="E91" s="10"/>
      <c r="F91" s="10"/>
      <c r="G91" s="10"/>
      <c r="H91" s="11"/>
      <c r="I91" s="10"/>
      <c r="J91" s="10"/>
      <c r="K91" s="11"/>
      <c r="L91" s="10"/>
      <c r="M91" s="10"/>
      <c r="N91" s="10"/>
      <c r="O91" s="10"/>
      <c r="P91" s="10"/>
      <c r="Q91" s="10"/>
      <c r="R91" s="10"/>
      <c r="S91" s="10"/>
      <c r="T91" s="12" t="n">
        <f aca="false">IFERROR(ROUND((IF(O91="Severe",4,IF(O91="Moderate",3,IF(O91="Minor",2,0)))+IF(P91="Severe",4,IF(P91="Moderate",3,IF(P91="Minor",2,0)))+IF(Q91="Severe",4,IF(Q91="Moderate",3,IF(Q91="Minor",2,0)))+IF(R91="Severe",4,IF(R91="Moderate",3,IF(R91="Minor",2,0))))/16*100,0),"")</f>
        <v>0</v>
      </c>
      <c r="U91" s="11"/>
      <c r="V91" s="10"/>
      <c r="W91" s="10"/>
      <c r="X91" s="10"/>
      <c r="Y91" s="13" t="n">
        <f aca="false">IFERROR(ROUND(IF(H91&gt;=10,30,IF(H91&gt;=5,20,IF(H91&gt;=2,10,0)))+IF(K91="Yes",20,IF(K91="Unsure",10,0))+IF(U91="Yes",30,IF(U91="Later",15,0))+IFERROR(T91/100*20,0),0),"")</f>
        <v>0</v>
      </c>
      <c r="Z91" s="11" t="str">
        <f aca="false">IFERROR(IF(Y91&gt;=80,"🔥 HOT",IF(Y91&gt;=60,"✅ STRONG",IF(Y91&gt;=40,"⚡ WARM",IF(Y91&gt;=20,"📋 NURTURE",IF(Y91&gt;0,"❌ COLD",""))))),"")</f>
        <v/>
      </c>
      <c r="AA91" s="11" t="str">
        <f aca="false">IFERROR(IF(AND(Y91&gt;=60,OR(U91="Yes",U91="Later")),"🚨 URGENT",IF(AND(Y91&gt;=40,I91="Call Back"),"📞 CALL BACK",IF(I91="Booked Meeting","📅 BOOKED",IF(I91="Not Interested","🚫 DEAD","⏳ WORKING")))),"")</f>
        <v>⏳ WORKING</v>
      </c>
      <c r="AB91" s="14"/>
      <c r="AC91" s="15"/>
      <c r="AD91" s="16" t="str">
        <f aca="true">IFERROR(IF(AC91="","",AC91-TODAY()),"")</f>
        <v/>
      </c>
      <c r="AE91" s="10"/>
    </row>
    <row r="92" customFormat="false" ht="19.5" hidden="false" customHeight="true" outlineLevel="0" collapsed="false">
      <c r="A92" s="17"/>
      <c r="B92" s="17"/>
      <c r="C92" s="17"/>
      <c r="D92" s="17"/>
      <c r="E92" s="17"/>
      <c r="F92" s="17"/>
      <c r="G92" s="17"/>
      <c r="H92" s="18"/>
      <c r="I92" s="17"/>
      <c r="J92" s="17"/>
      <c r="K92" s="18"/>
      <c r="L92" s="17"/>
      <c r="M92" s="17"/>
      <c r="N92" s="17"/>
      <c r="O92" s="17"/>
      <c r="P92" s="17"/>
      <c r="Q92" s="17"/>
      <c r="R92" s="17"/>
      <c r="S92" s="17"/>
      <c r="T92" s="19" t="n">
        <f aca="false">IFERROR(ROUND((IF(O92="Severe",4,IF(O92="Moderate",3,IF(O92="Minor",2,0)))+IF(P92="Severe",4,IF(P92="Moderate",3,IF(P92="Minor",2,0)))+IF(Q92="Severe",4,IF(Q92="Moderate",3,IF(Q92="Minor",2,0)))+IF(R92="Severe",4,IF(R92="Moderate",3,IF(R92="Minor",2,0))))/16*100,0),"")</f>
        <v>0</v>
      </c>
      <c r="U92" s="18"/>
      <c r="V92" s="17"/>
      <c r="W92" s="17"/>
      <c r="X92" s="17"/>
      <c r="Y92" s="20" t="n">
        <f aca="false">IFERROR(ROUND(IF(H92&gt;=10,30,IF(H92&gt;=5,20,IF(H92&gt;=2,10,0)))+IF(K92="Yes",20,IF(K92="Unsure",10,0))+IF(U92="Yes",30,IF(U92="Later",15,0))+IFERROR(T92/100*20,0),0),"")</f>
        <v>0</v>
      </c>
      <c r="Z92" s="18" t="str">
        <f aca="false">IFERROR(IF(Y92&gt;=80,"🔥 HOT",IF(Y92&gt;=60,"✅ STRONG",IF(Y92&gt;=40,"⚡ WARM",IF(Y92&gt;=20,"📋 NURTURE",IF(Y92&gt;0,"❌ COLD",""))))),"")</f>
        <v/>
      </c>
      <c r="AA92" s="18" t="str">
        <f aca="false">IFERROR(IF(AND(Y92&gt;=60,OR(U92="Yes",U92="Later")),"🚨 URGENT",IF(AND(Y92&gt;=40,I92="Call Back"),"📞 CALL BACK",IF(I92="Booked Meeting","📅 BOOKED",IF(I92="Not Interested","🚫 DEAD","⏳ WORKING")))),"")</f>
        <v>⏳ WORKING</v>
      </c>
      <c r="AB92" s="21"/>
      <c r="AC92" s="22"/>
      <c r="AD92" s="23" t="str">
        <f aca="true">IFERROR(IF(AC92="","",AC92-TODAY()),"")</f>
        <v/>
      </c>
      <c r="AE92" s="17"/>
    </row>
    <row r="93" customFormat="false" ht="19.5" hidden="false" customHeight="true" outlineLevel="0" collapsed="false">
      <c r="A93" s="10"/>
      <c r="B93" s="10"/>
      <c r="C93" s="10"/>
      <c r="D93" s="10"/>
      <c r="E93" s="10"/>
      <c r="F93" s="10"/>
      <c r="G93" s="10"/>
      <c r="H93" s="11"/>
      <c r="I93" s="10"/>
      <c r="J93" s="10"/>
      <c r="K93" s="11"/>
      <c r="L93" s="10"/>
      <c r="M93" s="10"/>
      <c r="N93" s="10"/>
      <c r="O93" s="10"/>
      <c r="P93" s="10"/>
      <c r="Q93" s="10"/>
      <c r="R93" s="10"/>
      <c r="S93" s="10"/>
      <c r="T93" s="12" t="n">
        <f aca="false">IFERROR(ROUND((IF(O93="Severe",4,IF(O93="Moderate",3,IF(O93="Minor",2,0)))+IF(P93="Severe",4,IF(P93="Moderate",3,IF(P93="Minor",2,0)))+IF(Q93="Severe",4,IF(Q93="Moderate",3,IF(Q93="Minor",2,0)))+IF(R93="Severe",4,IF(R93="Moderate",3,IF(R93="Minor",2,0))))/16*100,0),"")</f>
        <v>0</v>
      </c>
      <c r="U93" s="11"/>
      <c r="V93" s="10"/>
      <c r="W93" s="10"/>
      <c r="X93" s="10"/>
      <c r="Y93" s="13" t="n">
        <f aca="false">IFERROR(ROUND(IF(H93&gt;=10,30,IF(H93&gt;=5,20,IF(H93&gt;=2,10,0)))+IF(K93="Yes",20,IF(K93="Unsure",10,0))+IF(U93="Yes",30,IF(U93="Later",15,0))+IFERROR(T93/100*20,0),0),"")</f>
        <v>0</v>
      </c>
      <c r="Z93" s="11" t="str">
        <f aca="false">IFERROR(IF(Y93&gt;=80,"🔥 HOT",IF(Y93&gt;=60,"✅ STRONG",IF(Y93&gt;=40,"⚡ WARM",IF(Y93&gt;=20,"📋 NURTURE",IF(Y93&gt;0,"❌ COLD",""))))),"")</f>
        <v/>
      </c>
      <c r="AA93" s="11" t="str">
        <f aca="false">IFERROR(IF(AND(Y93&gt;=60,OR(U93="Yes",U93="Later")),"🚨 URGENT",IF(AND(Y93&gt;=40,I93="Call Back"),"📞 CALL BACK",IF(I93="Booked Meeting","📅 BOOKED",IF(I93="Not Interested","🚫 DEAD","⏳ WORKING")))),"")</f>
        <v>⏳ WORKING</v>
      </c>
      <c r="AB93" s="14"/>
      <c r="AC93" s="15"/>
      <c r="AD93" s="16" t="str">
        <f aca="true">IFERROR(IF(AC93="","",AC93-TODAY()),"")</f>
        <v/>
      </c>
      <c r="AE93" s="10"/>
    </row>
    <row r="94" customFormat="false" ht="19.5" hidden="false" customHeight="true" outlineLevel="0" collapsed="false">
      <c r="A94" s="17"/>
      <c r="B94" s="17"/>
      <c r="C94" s="17"/>
      <c r="D94" s="17"/>
      <c r="E94" s="17"/>
      <c r="F94" s="17"/>
      <c r="G94" s="17"/>
      <c r="H94" s="18"/>
      <c r="I94" s="17"/>
      <c r="J94" s="17"/>
      <c r="K94" s="18"/>
      <c r="L94" s="17"/>
      <c r="M94" s="17"/>
      <c r="N94" s="17"/>
      <c r="O94" s="17"/>
      <c r="P94" s="17"/>
      <c r="Q94" s="17"/>
      <c r="R94" s="17"/>
      <c r="S94" s="17"/>
      <c r="T94" s="19" t="n">
        <f aca="false">IFERROR(ROUND((IF(O94="Severe",4,IF(O94="Moderate",3,IF(O94="Minor",2,0)))+IF(P94="Severe",4,IF(P94="Moderate",3,IF(P94="Minor",2,0)))+IF(Q94="Severe",4,IF(Q94="Moderate",3,IF(Q94="Minor",2,0)))+IF(R94="Severe",4,IF(R94="Moderate",3,IF(R94="Minor",2,0))))/16*100,0),"")</f>
        <v>0</v>
      </c>
      <c r="U94" s="18"/>
      <c r="V94" s="17"/>
      <c r="W94" s="17"/>
      <c r="X94" s="17"/>
      <c r="Y94" s="20" t="n">
        <f aca="false">IFERROR(ROUND(IF(H94&gt;=10,30,IF(H94&gt;=5,20,IF(H94&gt;=2,10,0)))+IF(K94="Yes",20,IF(K94="Unsure",10,0))+IF(U94="Yes",30,IF(U94="Later",15,0))+IFERROR(T94/100*20,0),0),"")</f>
        <v>0</v>
      </c>
      <c r="Z94" s="18" t="str">
        <f aca="false">IFERROR(IF(Y94&gt;=80,"🔥 HOT",IF(Y94&gt;=60,"✅ STRONG",IF(Y94&gt;=40,"⚡ WARM",IF(Y94&gt;=20,"📋 NURTURE",IF(Y94&gt;0,"❌ COLD",""))))),"")</f>
        <v/>
      </c>
      <c r="AA94" s="18" t="str">
        <f aca="false">IFERROR(IF(AND(Y94&gt;=60,OR(U94="Yes",U94="Later")),"🚨 URGENT",IF(AND(Y94&gt;=40,I94="Call Back"),"📞 CALL BACK",IF(I94="Booked Meeting","📅 BOOKED",IF(I94="Not Interested","🚫 DEAD","⏳ WORKING")))),"")</f>
        <v>⏳ WORKING</v>
      </c>
      <c r="AB94" s="21"/>
      <c r="AC94" s="22"/>
      <c r="AD94" s="23" t="str">
        <f aca="true">IFERROR(IF(AC94="","",AC94-TODAY()),"")</f>
        <v/>
      </c>
      <c r="AE94" s="17"/>
    </row>
    <row r="95" customFormat="false" ht="19.5" hidden="false" customHeight="true" outlineLevel="0" collapsed="false">
      <c r="A95" s="10"/>
      <c r="B95" s="10"/>
      <c r="C95" s="10"/>
      <c r="D95" s="10"/>
      <c r="E95" s="10"/>
      <c r="F95" s="10"/>
      <c r="G95" s="10"/>
      <c r="H95" s="11"/>
      <c r="I95" s="10"/>
      <c r="J95" s="10"/>
      <c r="K95" s="11"/>
      <c r="L95" s="10"/>
      <c r="M95" s="10"/>
      <c r="N95" s="10"/>
      <c r="O95" s="10"/>
      <c r="P95" s="10"/>
      <c r="Q95" s="10"/>
      <c r="R95" s="10"/>
      <c r="S95" s="10"/>
      <c r="T95" s="12" t="n">
        <f aca="false">IFERROR(ROUND((IF(O95="Severe",4,IF(O95="Moderate",3,IF(O95="Minor",2,0)))+IF(P95="Severe",4,IF(P95="Moderate",3,IF(P95="Minor",2,0)))+IF(Q95="Severe",4,IF(Q95="Moderate",3,IF(Q95="Minor",2,0)))+IF(R95="Severe",4,IF(R95="Moderate",3,IF(R95="Minor",2,0))))/16*100,0),"")</f>
        <v>0</v>
      </c>
      <c r="U95" s="11"/>
      <c r="V95" s="10"/>
      <c r="W95" s="10"/>
      <c r="X95" s="10"/>
      <c r="Y95" s="13" t="n">
        <f aca="false">IFERROR(ROUND(IF(H95&gt;=10,30,IF(H95&gt;=5,20,IF(H95&gt;=2,10,0)))+IF(K95="Yes",20,IF(K95="Unsure",10,0))+IF(U95="Yes",30,IF(U95="Later",15,0))+IFERROR(T95/100*20,0),0),"")</f>
        <v>0</v>
      </c>
      <c r="Z95" s="11" t="str">
        <f aca="false">IFERROR(IF(Y95&gt;=80,"🔥 HOT",IF(Y95&gt;=60,"✅ STRONG",IF(Y95&gt;=40,"⚡ WARM",IF(Y95&gt;=20,"📋 NURTURE",IF(Y95&gt;0,"❌ COLD",""))))),"")</f>
        <v/>
      </c>
      <c r="AA95" s="11" t="str">
        <f aca="false">IFERROR(IF(AND(Y95&gt;=60,OR(U95="Yes",U95="Later")),"🚨 URGENT",IF(AND(Y95&gt;=40,I95="Call Back"),"📞 CALL BACK",IF(I95="Booked Meeting","📅 BOOKED",IF(I95="Not Interested","🚫 DEAD","⏳ WORKING")))),"")</f>
        <v>⏳ WORKING</v>
      </c>
      <c r="AB95" s="14"/>
      <c r="AC95" s="15"/>
      <c r="AD95" s="16" t="str">
        <f aca="true">IFERROR(IF(AC95="","",AC95-TODAY()),"")</f>
        <v/>
      </c>
      <c r="AE95" s="10"/>
    </row>
    <row r="96" customFormat="false" ht="19.5" hidden="false" customHeight="true" outlineLevel="0" collapsed="false">
      <c r="A96" s="17"/>
      <c r="B96" s="17"/>
      <c r="C96" s="17"/>
      <c r="D96" s="17"/>
      <c r="E96" s="17"/>
      <c r="F96" s="17"/>
      <c r="G96" s="17"/>
      <c r="H96" s="18"/>
      <c r="I96" s="17"/>
      <c r="J96" s="17"/>
      <c r="K96" s="18"/>
      <c r="L96" s="17"/>
      <c r="M96" s="17"/>
      <c r="N96" s="17"/>
      <c r="O96" s="17"/>
      <c r="P96" s="17"/>
      <c r="Q96" s="17"/>
      <c r="R96" s="17"/>
      <c r="S96" s="17"/>
      <c r="T96" s="19" t="n">
        <f aca="false">IFERROR(ROUND((IF(O96="Severe",4,IF(O96="Moderate",3,IF(O96="Minor",2,0)))+IF(P96="Severe",4,IF(P96="Moderate",3,IF(P96="Minor",2,0)))+IF(Q96="Severe",4,IF(Q96="Moderate",3,IF(Q96="Minor",2,0)))+IF(R96="Severe",4,IF(R96="Moderate",3,IF(R96="Minor",2,0))))/16*100,0),"")</f>
        <v>0</v>
      </c>
      <c r="U96" s="18"/>
      <c r="V96" s="17"/>
      <c r="W96" s="17"/>
      <c r="X96" s="17"/>
      <c r="Y96" s="20" t="n">
        <f aca="false">IFERROR(ROUND(IF(H96&gt;=10,30,IF(H96&gt;=5,20,IF(H96&gt;=2,10,0)))+IF(K96="Yes",20,IF(K96="Unsure",10,0))+IF(U96="Yes",30,IF(U96="Later",15,0))+IFERROR(T96/100*20,0),0),"")</f>
        <v>0</v>
      </c>
      <c r="Z96" s="18" t="str">
        <f aca="false">IFERROR(IF(Y96&gt;=80,"🔥 HOT",IF(Y96&gt;=60,"✅ STRONG",IF(Y96&gt;=40,"⚡ WARM",IF(Y96&gt;=20,"📋 NURTURE",IF(Y96&gt;0,"❌ COLD",""))))),"")</f>
        <v/>
      </c>
      <c r="AA96" s="18" t="str">
        <f aca="false">IFERROR(IF(AND(Y96&gt;=60,OR(U96="Yes",U96="Later")),"🚨 URGENT",IF(AND(Y96&gt;=40,I96="Call Back"),"📞 CALL BACK",IF(I96="Booked Meeting","📅 BOOKED",IF(I96="Not Interested","🚫 DEAD","⏳ WORKING")))),"")</f>
        <v>⏳ WORKING</v>
      </c>
      <c r="AB96" s="21"/>
      <c r="AC96" s="22"/>
      <c r="AD96" s="23" t="str">
        <f aca="true">IFERROR(IF(AC96="","",AC96-TODAY()),"")</f>
        <v/>
      </c>
      <c r="AE96" s="17"/>
    </row>
    <row r="97" customFormat="false" ht="19.5" hidden="false" customHeight="true" outlineLevel="0" collapsed="false">
      <c r="A97" s="10"/>
      <c r="B97" s="10"/>
      <c r="C97" s="10"/>
      <c r="D97" s="10"/>
      <c r="E97" s="10"/>
      <c r="F97" s="10"/>
      <c r="G97" s="10"/>
      <c r="H97" s="11"/>
      <c r="I97" s="10"/>
      <c r="J97" s="10"/>
      <c r="K97" s="11"/>
      <c r="L97" s="10"/>
      <c r="M97" s="10"/>
      <c r="N97" s="10"/>
      <c r="O97" s="10"/>
      <c r="P97" s="10"/>
      <c r="Q97" s="10"/>
      <c r="R97" s="10"/>
      <c r="S97" s="10"/>
      <c r="T97" s="12" t="n">
        <f aca="false">IFERROR(ROUND((IF(O97="Severe",4,IF(O97="Moderate",3,IF(O97="Minor",2,0)))+IF(P97="Severe",4,IF(P97="Moderate",3,IF(P97="Minor",2,0)))+IF(Q97="Severe",4,IF(Q97="Moderate",3,IF(Q97="Minor",2,0)))+IF(R97="Severe",4,IF(R97="Moderate",3,IF(R97="Minor",2,0))))/16*100,0),"")</f>
        <v>0</v>
      </c>
      <c r="U97" s="11"/>
      <c r="V97" s="10"/>
      <c r="W97" s="10"/>
      <c r="X97" s="10"/>
      <c r="Y97" s="13" t="n">
        <f aca="false">IFERROR(ROUND(IF(H97&gt;=10,30,IF(H97&gt;=5,20,IF(H97&gt;=2,10,0)))+IF(K97="Yes",20,IF(K97="Unsure",10,0))+IF(U97="Yes",30,IF(U97="Later",15,0))+IFERROR(T97/100*20,0),0),"")</f>
        <v>0</v>
      </c>
      <c r="Z97" s="11" t="str">
        <f aca="false">IFERROR(IF(Y97&gt;=80,"🔥 HOT",IF(Y97&gt;=60,"✅ STRONG",IF(Y97&gt;=40,"⚡ WARM",IF(Y97&gt;=20,"📋 NURTURE",IF(Y97&gt;0,"❌ COLD",""))))),"")</f>
        <v/>
      </c>
      <c r="AA97" s="11" t="str">
        <f aca="false">IFERROR(IF(AND(Y97&gt;=60,OR(U97="Yes",U97="Later")),"🚨 URGENT",IF(AND(Y97&gt;=40,I97="Call Back"),"📞 CALL BACK",IF(I97="Booked Meeting","📅 BOOKED",IF(I97="Not Interested","🚫 DEAD","⏳ WORKING")))),"")</f>
        <v>⏳ WORKING</v>
      </c>
      <c r="AB97" s="14"/>
      <c r="AC97" s="15"/>
      <c r="AD97" s="16" t="str">
        <f aca="true">IFERROR(IF(AC97="","",AC97-TODAY()),"")</f>
        <v/>
      </c>
      <c r="AE97" s="10"/>
    </row>
    <row r="98" customFormat="false" ht="19.5" hidden="false" customHeight="true" outlineLevel="0" collapsed="false">
      <c r="A98" s="17"/>
      <c r="B98" s="17"/>
      <c r="C98" s="17"/>
      <c r="D98" s="17"/>
      <c r="E98" s="17"/>
      <c r="F98" s="17"/>
      <c r="G98" s="17"/>
      <c r="H98" s="18"/>
      <c r="I98" s="17"/>
      <c r="J98" s="17"/>
      <c r="K98" s="18"/>
      <c r="L98" s="17"/>
      <c r="M98" s="17"/>
      <c r="N98" s="17"/>
      <c r="O98" s="17"/>
      <c r="P98" s="17"/>
      <c r="Q98" s="17"/>
      <c r="R98" s="17"/>
      <c r="S98" s="17"/>
      <c r="T98" s="19" t="n">
        <f aca="false">IFERROR(ROUND((IF(O98="Severe",4,IF(O98="Moderate",3,IF(O98="Minor",2,0)))+IF(P98="Severe",4,IF(P98="Moderate",3,IF(P98="Minor",2,0)))+IF(Q98="Severe",4,IF(Q98="Moderate",3,IF(Q98="Minor",2,0)))+IF(R98="Severe",4,IF(R98="Moderate",3,IF(R98="Minor",2,0))))/16*100,0),"")</f>
        <v>0</v>
      </c>
      <c r="U98" s="18"/>
      <c r="V98" s="17"/>
      <c r="W98" s="17"/>
      <c r="X98" s="17"/>
      <c r="Y98" s="20" t="n">
        <f aca="false">IFERROR(ROUND(IF(H98&gt;=10,30,IF(H98&gt;=5,20,IF(H98&gt;=2,10,0)))+IF(K98="Yes",20,IF(K98="Unsure",10,0))+IF(U98="Yes",30,IF(U98="Later",15,0))+IFERROR(T98/100*20,0),0),"")</f>
        <v>0</v>
      </c>
      <c r="Z98" s="18" t="str">
        <f aca="false">IFERROR(IF(Y98&gt;=80,"🔥 HOT",IF(Y98&gt;=60,"✅ STRONG",IF(Y98&gt;=40,"⚡ WARM",IF(Y98&gt;=20,"📋 NURTURE",IF(Y98&gt;0,"❌ COLD",""))))),"")</f>
        <v/>
      </c>
      <c r="AA98" s="18" t="str">
        <f aca="false">IFERROR(IF(AND(Y98&gt;=60,OR(U98="Yes",U98="Later")),"🚨 URGENT",IF(AND(Y98&gt;=40,I98="Call Back"),"📞 CALL BACK",IF(I98="Booked Meeting","📅 BOOKED",IF(I98="Not Interested","🚫 DEAD","⏳ WORKING")))),"")</f>
        <v>⏳ WORKING</v>
      </c>
      <c r="AB98" s="21"/>
      <c r="AC98" s="22"/>
      <c r="AD98" s="23" t="str">
        <f aca="true">IFERROR(IF(AC98="","",AC98-TODAY()),"")</f>
        <v/>
      </c>
      <c r="AE98" s="17"/>
    </row>
    <row r="99" customFormat="false" ht="19.5" hidden="false" customHeight="true" outlineLevel="0" collapsed="false">
      <c r="A99" s="10"/>
      <c r="B99" s="10"/>
      <c r="C99" s="10"/>
      <c r="D99" s="10"/>
      <c r="E99" s="10"/>
      <c r="F99" s="10"/>
      <c r="G99" s="10"/>
      <c r="H99" s="11"/>
      <c r="I99" s="10"/>
      <c r="J99" s="10"/>
      <c r="K99" s="11"/>
      <c r="L99" s="10"/>
      <c r="M99" s="10"/>
      <c r="N99" s="10"/>
      <c r="O99" s="10"/>
      <c r="P99" s="10"/>
      <c r="Q99" s="10"/>
      <c r="R99" s="10"/>
      <c r="S99" s="10"/>
      <c r="T99" s="12" t="n">
        <f aca="false">IFERROR(ROUND((IF(O99="Severe",4,IF(O99="Moderate",3,IF(O99="Minor",2,0)))+IF(P99="Severe",4,IF(P99="Moderate",3,IF(P99="Minor",2,0)))+IF(Q99="Severe",4,IF(Q99="Moderate",3,IF(Q99="Minor",2,0)))+IF(R99="Severe",4,IF(R99="Moderate",3,IF(R99="Minor",2,0))))/16*100,0),"")</f>
        <v>0</v>
      </c>
      <c r="U99" s="11"/>
      <c r="V99" s="10"/>
      <c r="W99" s="10"/>
      <c r="X99" s="10"/>
      <c r="Y99" s="13" t="n">
        <f aca="false">IFERROR(ROUND(IF(H99&gt;=10,30,IF(H99&gt;=5,20,IF(H99&gt;=2,10,0)))+IF(K99="Yes",20,IF(K99="Unsure",10,0))+IF(U99="Yes",30,IF(U99="Later",15,0))+IFERROR(T99/100*20,0),0),"")</f>
        <v>0</v>
      </c>
      <c r="Z99" s="11" t="str">
        <f aca="false">IFERROR(IF(Y99&gt;=80,"🔥 HOT",IF(Y99&gt;=60,"✅ STRONG",IF(Y99&gt;=40,"⚡ WARM",IF(Y99&gt;=20,"📋 NURTURE",IF(Y99&gt;0,"❌ COLD",""))))),"")</f>
        <v/>
      </c>
      <c r="AA99" s="11" t="str">
        <f aca="false">IFERROR(IF(AND(Y99&gt;=60,OR(U99="Yes",U99="Later")),"🚨 URGENT",IF(AND(Y99&gt;=40,I99="Call Back"),"📞 CALL BACK",IF(I99="Booked Meeting","📅 BOOKED",IF(I99="Not Interested","🚫 DEAD","⏳ WORKING")))),"")</f>
        <v>⏳ WORKING</v>
      </c>
      <c r="AB99" s="14"/>
      <c r="AC99" s="15"/>
      <c r="AD99" s="16" t="str">
        <f aca="true">IFERROR(IF(AC99="","",AC99-TODAY()),"")</f>
        <v/>
      </c>
      <c r="AE99" s="10"/>
    </row>
    <row r="100" customFormat="false" ht="19.5" hidden="false" customHeight="true" outlineLevel="0" collapsed="false">
      <c r="A100" s="17"/>
      <c r="B100" s="17"/>
      <c r="C100" s="17"/>
      <c r="D100" s="17"/>
      <c r="E100" s="17"/>
      <c r="F100" s="17"/>
      <c r="G100" s="17"/>
      <c r="H100" s="18"/>
      <c r="I100" s="17"/>
      <c r="J100" s="17"/>
      <c r="K100" s="18"/>
      <c r="L100" s="17"/>
      <c r="M100" s="17"/>
      <c r="N100" s="17"/>
      <c r="O100" s="17"/>
      <c r="P100" s="17"/>
      <c r="Q100" s="17"/>
      <c r="R100" s="17"/>
      <c r="S100" s="17"/>
      <c r="T100" s="19" t="n">
        <f aca="false">IFERROR(ROUND((IF(O100="Severe",4,IF(O100="Moderate",3,IF(O100="Minor",2,0)))+IF(P100="Severe",4,IF(P100="Moderate",3,IF(P100="Minor",2,0)))+IF(Q100="Severe",4,IF(Q100="Moderate",3,IF(Q100="Minor",2,0)))+IF(R100="Severe",4,IF(R100="Moderate",3,IF(R100="Minor",2,0))))/16*100,0),"")</f>
        <v>0</v>
      </c>
      <c r="U100" s="18"/>
      <c r="V100" s="17"/>
      <c r="W100" s="17"/>
      <c r="X100" s="17"/>
      <c r="Y100" s="20" t="n">
        <f aca="false">IFERROR(ROUND(IF(H100&gt;=10,30,IF(H100&gt;=5,20,IF(H100&gt;=2,10,0)))+IF(K100="Yes",20,IF(K100="Unsure",10,0))+IF(U100="Yes",30,IF(U100="Later",15,0))+IFERROR(T100/100*20,0),0),"")</f>
        <v>0</v>
      </c>
      <c r="Z100" s="18" t="str">
        <f aca="false">IFERROR(IF(Y100&gt;=80,"🔥 HOT",IF(Y100&gt;=60,"✅ STRONG",IF(Y100&gt;=40,"⚡ WARM",IF(Y100&gt;=20,"📋 NURTURE",IF(Y100&gt;0,"❌ COLD",""))))),"")</f>
        <v/>
      </c>
      <c r="AA100" s="18" t="str">
        <f aca="false">IFERROR(IF(AND(Y100&gt;=60,OR(U100="Yes",U100="Later")),"🚨 URGENT",IF(AND(Y100&gt;=40,I100="Call Back"),"📞 CALL BACK",IF(I100="Booked Meeting","📅 BOOKED",IF(I100="Not Interested","🚫 DEAD","⏳ WORKING")))),"")</f>
        <v>⏳ WORKING</v>
      </c>
      <c r="AB100" s="21"/>
      <c r="AC100" s="22"/>
      <c r="AD100" s="23" t="str">
        <f aca="true">IFERROR(IF(AC100="","",AC100-TODAY()),"")</f>
        <v/>
      </c>
      <c r="AE100" s="17"/>
    </row>
    <row r="101" customFormat="false" ht="19.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1"/>
      <c r="I101" s="10"/>
      <c r="J101" s="10"/>
      <c r="K101" s="11"/>
      <c r="L101" s="10"/>
      <c r="M101" s="10"/>
      <c r="N101" s="10"/>
      <c r="O101" s="10"/>
      <c r="P101" s="10"/>
      <c r="Q101" s="10"/>
      <c r="R101" s="10"/>
      <c r="S101" s="10"/>
      <c r="T101" s="12" t="n">
        <f aca="false">IFERROR(ROUND((IF(O101="Severe",4,IF(O101="Moderate",3,IF(O101="Minor",2,0)))+IF(P101="Severe",4,IF(P101="Moderate",3,IF(P101="Minor",2,0)))+IF(Q101="Severe",4,IF(Q101="Moderate",3,IF(Q101="Minor",2,0)))+IF(R101="Severe",4,IF(R101="Moderate",3,IF(R101="Minor",2,0))))/16*100,0),"")</f>
        <v>0</v>
      </c>
      <c r="U101" s="11"/>
      <c r="V101" s="10"/>
      <c r="W101" s="10"/>
      <c r="X101" s="10"/>
      <c r="Y101" s="13" t="n">
        <f aca="false">IFERROR(ROUND(IF(H101&gt;=10,30,IF(H101&gt;=5,20,IF(H101&gt;=2,10,0)))+IF(K101="Yes",20,IF(K101="Unsure",10,0))+IF(U101="Yes",30,IF(U101="Later",15,0))+IFERROR(T101/100*20,0),0),"")</f>
        <v>0</v>
      </c>
      <c r="Z101" s="11" t="str">
        <f aca="false">IFERROR(IF(Y101&gt;=80,"🔥 HOT",IF(Y101&gt;=60,"✅ STRONG",IF(Y101&gt;=40,"⚡ WARM",IF(Y101&gt;=20,"📋 NURTURE",IF(Y101&gt;0,"❌ COLD",""))))),"")</f>
        <v/>
      </c>
      <c r="AA101" s="11" t="str">
        <f aca="false">IFERROR(IF(AND(Y101&gt;=60,OR(U101="Yes",U101="Later")),"🚨 URGENT",IF(AND(Y101&gt;=40,I101="Call Back"),"📞 CALL BACK",IF(I101="Booked Meeting","📅 BOOKED",IF(I101="Not Interested","🚫 DEAD","⏳ WORKING")))),"")</f>
        <v>⏳ WORKING</v>
      </c>
      <c r="AB101" s="14"/>
      <c r="AC101" s="15"/>
      <c r="AD101" s="16" t="str">
        <f aca="true">IFERROR(IF(AC101="","",AC101-TODAY()),"")</f>
        <v/>
      </c>
      <c r="AE101" s="10"/>
    </row>
    <row r="102" customFormat="false" ht="19.5" hidden="false" customHeight="true" outlineLevel="0" collapsed="false">
      <c r="A102" s="17"/>
      <c r="B102" s="17"/>
      <c r="C102" s="17"/>
      <c r="D102" s="17"/>
      <c r="E102" s="17"/>
      <c r="F102" s="17"/>
      <c r="G102" s="17"/>
      <c r="H102" s="18"/>
      <c r="I102" s="17"/>
      <c r="J102" s="17"/>
      <c r="K102" s="18"/>
      <c r="L102" s="17"/>
      <c r="M102" s="17"/>
      <c r="N102" s="17"/>
      <c r="O102" s="17"/>
      <c r="P102" s="17"/>
      <c r="Q102" s="17"/>
      <c r="R102" s="17"/>
      <c r="S102" s="17"/>
      <c r="T102" s="19" t="n">
        <f aca="false">IFERROR(ROUND((IF(O102="Severe",4,IF(O102="Moderate",3,IF(O102="Minor",2,0)))+IF(P102="Severe",4,IF(P102="Moderate",3,IF(P102="Minor",2,0)))+IF(Q102="Severe",4,IF(Q102="Moderate",3,IF(Q102="Minor",2,0)))+IF(R102="Severe",4,IF(R102="Moderate",3,IF(R102="Minor",2,0))))/16*100,0),"")</f>
        <v>0</v>
      </c>
      <c r="U102" s="18"/>
      <c r="V102" s="17"/>
      <c r="W102" s="17"/>
      <c r="X102" s="17"/>
      <c r="Y102" s="20" t="n">
        <f aca="false">IFERROR(ROUND(IF(H102&gt;=10,30,IF(H102&gt;=5,20,IF(H102&gt;=2,10,0)))+IF(K102="Yes",20,IF(K102="Unsure",10,0))+IF(U102="Yes",30,IF(U102="Later",15,0))+IFERROR(T102/100*20,0),0),"")</f>
        <v>0</v>
      </c>
      <c r="Z102" s="18" t="str">
        <f aca="false">IFERROR(IF(Y102&gt;=80,"🔥 HOT",IF(Y102&gt;=60,"✅ STRONG",IF(Y102&gt;=40,"⚡ WARM",IF(Y102&gt;=20,"📋 NURTURE",IF(Y102&gt;0,"❌ COLD",""))))),"")</f>
        <v/>
      </c>
      <c r="AA102" s="18" t="str">
        <f aca="false">IFERROR(IF(AND(Y102&gt;=60,OR(U102="Yes",U102="Later")),"🚨 URGENT",IF(AND(Y102&gt;=40,I102="Call Back"),"📞 CALL BACK",IF(I102="Booked Meeting","📅 BOOKED",IF(I102="Not Interested","🚫 DEAD","⏳ WORKING")))),"")</f>
        <v>⏳ WORKING</v>
      </c>
      <c r="AB102" s="21"/>
      <c r="AC102" s="22"/>
      <c r="AD102" s="23" t="str">
        <f aca="true">IFERROR(IF(AC102="","",AC102-TODAY()),"")</f>
        <v/>
      </c>
      <c r="AE102" s="17"/>
    </row>
    <row r="103" customFormat="false" ht="19.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1"/>
      <c r="I103" s="10"/>
      <c r="J103" s="10"/>
      <c r="K103" s="11"/>
      <c r="L103" s="10"/>
      <c r="M103" s="10"/>
      <c r="N103" s="10"/>
      <c r="O103" s="10"/>
      <c r="P103" s="10"/>
      <c r="Q103" s="10"/>
      <c r="R103" s="10"/>
      <c r="S103" s="10"/>
      <c r="T103" s="12" t="n">
        <f aca="false">IFERROR(ROUND((IF(O103="Severe",4,IF(O103="Moderate",3,IF(O103="Minor",2,0)))+IF(P103="Severe",4,IF(P103="Moderate",3,IF(P103="Minor",2,0)))+IF(Q103="Severe",4,IF(Q103="Moderate",3,IF(Q103="Minor",2,0)))+IF(R103="Severe",4,IF(R103="Moderate",3,IF(R103="Minor",2,0))))/16*100,0),"")</f>
        <v>0</v>
      </c>
      <c r="U103" s="11"/>
      <c r="V103" s="10"/>
      <c r="W103" s="10"/>
      <c r="X103" s="10"/>
      <c r="Y103" s="13" t="n">
        <f aca="false">IFERROR(ROUND(IF(H103&gt;=10,30,IF(H103&gt;=5,20,IF(H103&gt;=2,10,0)))+IF(K103="Yes",20,IF(K103="Unsure",10,0))+IF(U103="Yes",30,IF(U103="Later",15,0))+IFERROR(T103/100*20,0),0),"")</f>
        <v>0</v>
      </c>
      <c r="Z103" s="11" t="str">
        <f aca="false">IFERROR(IF(Y103&gt;=80,"🔥 HOT",IF(Y103&gt;=60,"✅ STRONG",IF(Y103&gt;=40,"⚡ WARM",IF(Y103&gt;=20,"📋 NURTURE",IF(Y103&gt;0,"❌ COLD",""))))),"")</f>
        <v/>
      </c>
      <c r="AA103" s="11" t="str">
        <f aca="false">IFERROR(IF(AND(Y103&gt;=60,OR(U103="Yes",U103="Later")),"🚨 URGENT",IF(AND(Y103&gt;=40,I103="Call Back"),"📞 CALL BACK",IF(I103="Booked Meeting","📅 BOOKED",IF(I103="Not Interested","🚫 DEAD","⏳ WORKING")))),"")</f>
        <v>⏳ WORKING</v>
      </c>
      <c r="AB103" s="14"/>
      <c r="AC103" s="15"/>
      <c r="AD103" s="16" t="str">
        <f aca="true">IFERROR(IF(AC103="","",AC103-TODAY()),"")</f>
        <v/>
      </c>
      <c r="AE103" s="10"/>
    </row>
    <row r="104" customFormat="false" ht="19.5" hidden="false" customHeight="true" outlineLevel="0" collapsed="false">
      <c r="A104" s="17"/>
      <c r="B104" s="17"/>
      <c r="C104" s="17"/>
      <c r="D104" s="17"/>
      <c r="E104" s="17"/>
      <c r="F104" s="17"/>
      <c r="G104" s="17"/>
      <c r="H104" s="18"/>
      <c r="I104" s="17"/>
      <c r="J104" s="17"/>
      <c r="K104" s="18"/>
      <c r="L104" s="17"/>
      <c r="M104" s="17"/>
      <c r="N104" s="17"/>
      <c r="O104" s="17"/>
      <c r="P104" s="17"/>
      <c r="Q104" s="17"/>
      <c r="R104" s="17"/>
      <c r="S104" s="17"/>
      <c r="T104" s="19" t="n">
        <f aca="false">IFERROR(ROUND((IF(O104="Severe",4,IF(O104="Moderate",3,IF(O104="Minor",2,0)))+IF(P104="Severe",4,IF(P104="Moderate",3,IF(P104="Minor",2,0)))+IF(Q104="Severe",4,IF(Q104="Moderate",3,IF(Q104="Minor",2,0)))+IF(R104="Severe",4,IF(R104="Moderate",3,IF(R104="Minor",2,0))))/16*100,0),"")</f>
        <v>0</v>
      </c>
      <c r="U104" s="18"/>
      <c r="V104" s="17"/>
      <c r="W104" s="17"/>
      <c r="X104" s="17"/>
      <c r="Y104" s="20" t="n">
        <f aca="false">IFERROR(ROUND(IF(H104&gt;=10,30,IF(H104&gt;=5,20,IF(H104&gt;=2,10,0)))+IF(K104="Yes",20,IF(K104="Unsure",10,0))+IF(U104="Yes",30,IF(U104="Later",15,0))+IFERROR(T104/100*20,0),0),"")</f>
        <v>0</v>
      </c>
      <c r="Z104" s="18" t="str">
        <f aca="false">IFERROR(IF(Y104&gt;=80,"🔥 HOT",IF(Y104&gt;=60,"✅ STRONG",IF(Y104&gt;=40,"⚡ WARM",IF(Y104&gt;=20,"📋 NURTURE",IF(Y104&gt;0,"❌ COLD",""))))),"")</f>
        <v/>
      </c>
      <c r="AA104" s="18" t="str">
        <f aca="false">IFERROR(IF(AND(Y104&gt;=60,OR(U104="Yes",U104="Later")),"🚨 URGENT",IF(AND(Y104&gt;=40,I104="Call Back"),"📞 CALL BACK",IF(I104="Booked Meeting","📅 BOOKED",IF(I104="Not Interested","🚫 DEAD","⏳ WORKING")))),"")</f>
        <v>⏳ WORKING</v>
      </c>
      <c r="AB104" s="21"/>
      <c r="AC104" s="22"/>
      <c r="AD104" s="23" t="str">
        <f aca="true">IFERROR(IF(AC104="","",AC104-TODAY()),"")</f>
        <v/>
      </c>
      <c r="AE104" s="17"/>
    </row>
    <row r="105" customFormat="false" ht="19.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1"/>
      <c r="I105" s="10"/>
      <c r="J105" s="10"/>
      <c r="K105" s="11"/>
      <c r="L105" s="10"/>
      <c r="M105" s="10"/>
      <c r="N105" s="10"/>
      <c r="O105" s="10"/>
      <c r="P105" s="10"/>
      <c r="Q105" s="10"/>
      <c r="R105" s="10"/>
      <c r="S105" s="10"/>
      <c r="T105" s="12" t="n">
        <f aca="false">IFERROR(ROUND((IF(O105="Severe",4,IF(O105="Moderate",3,IF(O105="Minor",2,0)))+IF(P105="Severe",4,IF(P105="Moderate",3,IF(P105="Minor",2,0)))+IF(Q105="Severe",4,IF(Q105="Moderate",3,IF(Q105="Minor",2,0)))+IF(R105="Severe",4,IF(R105="Moderate",3,IF(R105="Minor",2,0))))/16*100,0),"")</f>
        <v>0</v>
      </c>
      <c r="U105" s="11"/>
      <c r="V105" s="10"/>
      <c r="W105" s="10"/>
      <c r="X105" s="10"/>
      <c r="Y105" s="13" t="n">
        <f aca="false">IFERROR(ROUND(IF(H105&gt;=10,30,IF(H105&gt;=5,20,IF(H105&gt;=2,10,0)))+IF(K105="Yes",20,IF(K105="Unsure",10,0))+IF(U105="Yes",30,IF(U105="Later",15,0))+IFERROR(T105/100*20,0),0),"")</f>
        <v>0</v>
      </c>
      <c r="Z105" s="11" t="str">
        <f aca="false">IFERROR(IF(Y105&gt;=80,"🔥 HOT",IF(Y105&gt;=60,"✅ STRONG",IF(Y105&gt;=40,"⚡ WARM",IF(Y105&gt;=20,"📋 NURTURE",IF(Y105&gt;0,"❌ COLD",""))))),"")</f>
        <v/>
      </c>
      <c r="AA105" s="11" t="str">
        <f aca="false">IFERROR(IF(AND(Y105&gt;=60,OR(U105="Yes",U105="Later")),"🚨 URGENT",IF(AND(Y105&gt;=40,I105="Call Back"),"📞 CALL BACK",IF(I105="Booked Meeting","📅 BOOKED",IF(I105="Not Interested","🚫 DEAD","⏳ WORKING")))),"")</f>
        <v>⏳ WORKING</v>
      </c>
      <c r="AB105" s="14"/>
      <c r="AC105" s="15"/>
      <c r="AD105" s="16" t="str">
        <f aca="true">IFERROR(IF(AC105="","",AC105-TODAY()),"")</f>
        <v/>
      </c>
      <c r="AE105" s="10"/>
    </row>
    <row r="106" customFormat="false" ht="19.5" hidden="false" customHeight="true" outlineLevel="0" collapsed="false">
      <c r="A106" s="17"/>
      <c r="B106" s="17"/>
      <c r="C106" s="17"/>
      <c r="D106" s="17"/>
      <c r="E106" s="17"/>
      <c r="F106" s="17"/>
      <c r="G106" s="17"/>
      <c r="H106" s="18"/>
      <c r="I106" s="17"/>
      <c r="J106" s="17"/>
      <c r="K106" s="18"/>
      <c r="L106" s="17"/>
      <c r="M106" s="17"/>
      <c r="N106" s="17"/>
      <c r="O106" s="17"/>
      <c r="P106" s="17"/>
      <c r="Q106" s="17"/>
      <c r="R106" s="17"/>
      <c r="S106" s="17"/>
      <c r="T106" s="19" t="n">
        <f aca="false">IFERROR(ROUND((IF(O106="Severe",4,IF(O106="Moderate",3,IF(O106="Minor",2,0)))+IF(P106="Severe",4,IF(P106="Moderate",3,IF(P106="Minor",2,0)))+IF(Q106="Severe",4,IF(Q106="Moderate",3,IF(Q106="Minor",2,0)))+IF(R106="Severe",4,IF(R106="Moderate",3,IF(R106="Minor",2,0))))/16*100,0),"")</f>
        <v>0</v>
      </c>
      <c r="U106" s="18"/>
      <c r="V106" s="17"/>
      <c r="W106" s="17"/>
      <c r="X106" s="17"/>
      <c r="Y106" s="20" t="n">
        <f aca="false">IFERROR(ROUND(IF(H106&gt;=10,30,IF(H106&gt;=5,20,IF(H106&gt;=2,10,0)))+IF(K106="Yes",20,IF(K106="Unsure",10,0))+IF(U106="Yes",30,IF(U106="Later",15,0))+IFERROR(T106/100*20,0),0),"")</f>
        <v>0</v>
      </c>
      <c r="Z106" s="18" t="str">
        <f aca="false">IFERROR(IF(Y106&gt;=80,"🔥 HOT",IF(Y106&gt;=60,"✅ STRONG",IF(Y106&gt;=40,"⚡ WARM",IF(Y106&gt;=20,"📋 NURTURE",IF(Y106&gt;0,"❌ COLD",""))))),"")</f>
        <v/>
      </c>
      <c r="AA106" s="18" t="str">
        <f aca="false">IFERROR(IF(AND(Y106&gt;=60,OR(U106="Yes",U106="Later")),"🚨 URGENT",IF(AND(Y106&gt;=40,I106="Call Back"),"📞 CALL BACK",IF(I106="Booked Meeting","📅 BOOKED",IF(I106="Not Interested","🚫 DEAD","⏳ WORKING")))),"")</f>
        <v>⏳ WORKING</v>
      </c>
      <c r="AB106" s="21"/>
      <c r="AC106" s="22"/>
      <c r="AD106" s="23" t="str">
        <f aca="true">IFERROR(IF(AC106="","",AC106-TODAY()),"")</f>
        <v/>
      </c>
      <c r="AE106" s="17"/>
    </row>
    <row r="107" customFormat="false" ht="19.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1"/>
      <c r="I107" s="10"/>
      <c r="J107" s="10"/>
      <c r="K107" s="11"/>
      <c r="L107" s="10"/>
      <c r="M107" s="10"/>
      <c r="N107" s="10"/>
      <c r="O107" s="10"/>
      <c r="P107" s="10"/>
      <c r="Q107" s="10"/>
      <c r="R107" s="10"/>
      <c r="S107" s="10"/>
      <c r="T107" s="12" t="n">
        <f aca="false">IFERROR(ROUND((IF(O107="Severe",4,IF(O107="Moderate",3,IF(O107="Minor",2,0)))+IF(P107="Severe",4,IF(P107="Moderate",3,IF(P107="Minor",2,0)))+IF(Q107="Severe",4,IF(Q107="Moderate",3,IF(Q107="Minor",2,0)))+IF(R107="Severe",4,IF(R107="Moderate",3,IF(R107="Minor",2,0))))/16*100,0),"")</f>
        <v>0</v>
      </c>
      <c r="U107" s="11"/>
      <c r="V107" s="10"/>
      <c r="W107" s="10"/>
      <c r="X107" s="10"/>
      <c r="Y107" s="13" t="n">
        <f aca="false">IFERROR(ROUND(IF(H107&gt;=10,30,IF(H107&gt;=5,20,IF(H107&gt;=2,10,0)))+IF(K107="Yes",20,IF(K107="Unsure",10,0))+IF(U107="Yes",30,IF(U107="Later",15,0))+IFERROR(T107/100*20,0),0),"")</f>
        <v>0</v>
      </c>
      <c r="Z107" s="11" t="str">
        <f aca="false">IFERROR(IF(Y107&gt;=80,"🔥 HOT",IF(Y107&gt;=60,"✅ STRONG",IF(Y107&gt;=40,"⚡ WARM",IF(Y107&gt;=20,"📋 NURTURE",IF(Y107&gt;0,"❌ COLD",""))))),"")</f>
        <v/>
      </c>
      <c r="AA107" s="11" t="str">
        <f aca="false">IFERROR(IF(AND(Y107&gt;=60,OR(U107="Yes",U107="Later")),"🚨 URGENT",IF(AND(Y107&gt;=40,I107="Call Back"),"📞 CALL BACK",IF(I107="Booked Meeting","📅 BOOKED",IF(I107="Not Interested","🚫 DEAD","⏳ WORKING")))),"")</f>
        <v>⏳ WORKING</v>
      </c>
      <c r="AB107" s="14"/>
      <c r="AC107" s="15"/>
      <c r="AD107" s="16" t="str">
        <f aca="true">IFERROR(IF(AC107="","",AC107-TODAY()),"")</f>
        <v/>
      </c>
      <c r="AE107" s="10"/>
    </row>
    <row r="108" customFormat="false" ht="19.5" hidden="false" customHeight="true" outlineLevel="0" collapsed="false">
      <c r="A108" s="17"/>
      <c r="B108" s="17"/>
      <c r="C108" s="17"/>
      <c r="D108" s="17"/>
      <c r="E108" s="17"/>
      <c r="F108" s="17"/>
      <c r="G108" s="17"/>
      <c r="H108" s="18"/>
      <c r="I108" s="17"/>
      <c r="J108" s="17"/>
      <c r="K108" s="18"/>
      <c r="L108" s="17"/>
      <c r="M108" s="17"/>
      <c r="N108" s="17"/>
      <c r="O108" s="17"/>
      <c r="P108" s="17"/>
      <c r="Q108" s="17"/>
      <c r="R108" s="17"/>
      <c r="S108" s="17"/>
      <c r="T108" s="19" t="n">
        <f aca="false">IFERROR(ROUND((IF(O108="Severe",4,IF(O108="Moderate",3,IF(O108="Minor",2,0)))+IF(P108="Severe",4,IF(P108="Moderate",3,IF(P108="Minor",2,0)))+IF(Q108="Severe",4,IF(Q108="Moderate",3,IF(Q108="Minor",2,0)))+IF(R108="Severe",4,IF(R108="Moderate",3,IF(R108="Minor",2,0))))/16*100,0),"")</f>
        <v>0</v>
      </c>
      <c r="U108" s="18"/>
      <c r="V108" s="17"/>
      <c r="W108" s="17"/>
      <c r="X108" s="17"/>
      <c r="Y108" s="20" t="n">
        <f aca="false">IFERROR(ROUND(IF(H108&gt;=10,30,IF(H108&gt;=5,20,IF(H108&gt;=2,10,0)))+IF(K108="Yes",20,IF(K108="Unsure",10,0))+IF(U108="Yes",30,IF(U108="Later",15,0))+IFERROR(T108/100*20,0),0),"")</f>
        <v>0</v>
      </c>
      <c r="Z108" s="18" t="str">
        <f aca="false">IFERROR(IF(Y108&gt;=80,"🔥 HOT",IF(Y108&gt;=60,"✅ STRONG",IF(Y108&gt;=40,"⚡ WARM",IF(Y108&gt;=20,"📋 NURTURE",IF(Y108&gt;0,"❌ COLD",""))))),"")</f>
        <v/>
      </c>
      <c r="AA108" s="18" t="str">
        <f aca="false">IFERROR(IF(AND(Y108&gt;=60,OR(U108="Yes",U108="Later")),"🚨 URGENT",IF(AND(Y108&gt;=40,I108="Call Back"),"📞 CALL BACK",IF(I108="Booked Meeting","📅 BOOKED",IF(I108="Not Interested","🚫 DEAD","⏳ WORKING")))),"")</f>
        <v>⏳ WORKING</v>
      </c>
      <c r="AB108" s="21"/>
      <c r="AC108" s="22"/>
      <c r="AD108" s="23" t="str">
        <f aca="true">IFERROR(IF(AC108="","",AC108-TODAY()),"")</f>
        <v/>
      </c>
      <c r="AE108" s="17"/>
    </row>
    <row r="109" customFormat="false" ht="19.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1"/>
      <c r="I109" s="10"/>
      <c r="J109" s="10"/>
      <c r="K109" s="11"/>
      <c r="L109" s="10"/>
      <c r="M109" s="10"/>
      <c r="N109" s="10"/>
      <c r="O109" s="10"/>
      <c r="P109" s="10"/>
      <c r="Q109" s="10"/>
      <c r="R109" s="10"/>
      <c r="S109" s="10"/>
      <c r="T109" s="12" t="n">
        <f aca="false">IFERROR(ROUND((IF(O109="Severe",4,IF(O109="Moderate",3,IF(O109="Minor",2,0)))+IF(P109="Severe",4,IF(P109="Moderate",3,IF(P109="Minor",2,0)))+IF(Q109="Severe",4,IF(Q109="Moderate",3,IF(Q109="Minor",2,0)))+IF(R109="Severe",4,IF(R109="Moderate",3,IF(R109="Minor",2,0))))/16*100,0),"")</f>
        <v>0</v>
      </c>
      <c r="U109" s="11"/>
      <c r="V109" s="10"/>
      <c r="W109" s="10"/>
      <c r="X109" s="10"/>
      <c r="Y109" s="13" t="n">
        <f aca="false">IFERROR(ROUND(IF(H109&gt;=10,30,IF(H109&gt;=5,20,IF(H109&gt;=2,10,0)))+IF(K109="Yes",20,IF(K109="Unsure",10,0))+IF(U109="Yes",30,IF(U109="Later",15,0))+IFERROR(T109/100*20,0),0),"")</f>
        <v>0</v>
      </c>
      <c r="Z109" s="11" t="str">
        <f aca="false">IFERROR(IF(Y109&gt;=80,"🔥 HOT",IF(Y109&gt;=60,"✅ STRONG",IF(Y109&gt;=40,"⚡ WARM",IF(Y109&gt;=20,"📋 NURTURE",IF(Y109&gt;0,"❌ COLD",""))))),"")</f>
        <v/>
      </c>
      <c r="AA109" s="11" t="str">
        <f aca="false">IFERROR(IF(AND(Y109&gt;=60,OR(U109="Yes",U109="Later")),"🚨 URGENT",IF(AND(Y109&gt;=40,I109="Call Back"),"📞 CALL BACK",IF(I109="Booked Meeting","📅 BOOKED",IF(I109="Not Interested","🚫 DEAD","⏳ WORKING")))),"")</f>
        <v>⏳ WORKING</v>
      </c>
      <c r="AB109" s="14"/>
      <c r="AC109" s="15"/>
      <c r="AD109" s="16" t="str">
        <f aca="true">IFERROR(IF(AC109="","",AC109-TODAY()),"")</f>
        <v/>
      </c>
      <c r="AE109" s="10"/>
    </row>
    <row r="110" customFormat="false" ht="19.5" hidden="false" customHeight="true" outlineLevel="0" collapsed="false">
      <c r="A110" s="17"/>
      <c r="B110" s="17"/>
      <c r="C110" s="17"/>
      <c r="D110" s="17"/>
      <c r="E110" s="17"/>
      <c r="F110" s="17"/>
      <c r="G110" s="17"/>
      <c r="H110" s="18"/>
      <c r="I110" s="17"/>
      <c r="J110" s="17"/>
      <c r="K110" s="18"/>
      <c r="L110" s="17"/>
      <c r="M110" s="17"/>
      <c r="N110" s="17"/>
      <c r="O110" s="17"/>
      <c r="P110" s="17"/>
      <c r="Q110" s="17"/>
      <c r="R110" s="17"/>
      <c r="S110" s="17"/>
      <c r="T110" s="19" t="n">
        <f aca="false">IFERROR(ROUND((IF(O110="Severe",4,IF(O110="Moderate",3,IF(O110="Minor",2,0)))+IF(P110="Severe",4,IF(P110="Moderate",3,IF(P110="Minor",2,0)))+IF(Q110="Severe",4,IF(Q110="Moderate",3,IF(Q110="Minor",2,0)))+IF(R110="Severe",4,IF(R110="Moderate",3,IF(R110="Minor",2,0))))/16*100,0),"")</f>
        <v>0</v>
      </c>
      <c r="U110" s="18"/>
      <c r="V110" s="17"/>
      <c r="W110" s="17"/>
      <c r="X110" s="17"/>
      <c r="Y110" s="20" t="n">
        <f aca="false">IFERROR(ROUND(IF(H110&gt;=10,30,IF(H110&gt;=5,20,IF(H110&gt;=2,10,0)))+IF(K110="Yes",20,IF(K110="Unsure",10,0))+IF(U110="Yes",30,IF(U110="Later",15,0))+IFERROR(T110/100*20,0),0),"")</f>
        <v>0</v>
      </c>
      <c r="Z110" s="18" t="str">
        <f aca="false">IFERROR(IF(Y110&gt;=80,"🔥 HOT",IF(Y110&gt;=60,"✅ STRONG",IF(Y110&gt;=40,"⚡ WARM",IF(Y110&gt;=20,"📋 NURTURE",IF(Y110&gt;0,"❌ COLD",""))))),"")</f>
        <v/>
      </c>
      <c r="AA110" s="18" t="str">
        <f aca="false">IFERROR(IF(AND(Y110&gt;=60,OR(U110="Yes",U110="Later")),"🚨 URGENT",IF(AND(Y110&gt;=40,I110="Call Back"),"📞 CALL BACK",IF(I110="Booked Meeting","📅 BOOKED",IF(I110="Not Interested","🚫 DEAD","⏳ WORKING")))),"")</f>
        <v>⏳ WORKING</v>
      </c>
      <c r="AB110" s="21"/>
      <c r="AC110" s="22"/>
      <c r="AD110" s="23" t="str">
        <f aca="true">IFERROR(IF(AC110="","",AC110-TODAY()),"")</f>
        <v/>
      </c>
      <c r="AE110" s="17"/>
    </row>
    <row r="111" customFormat="false" ht="19.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1"/>
      <c r="I111" s="10"/>
      <c r="J111" s="10"/>
      <c r="K111" s="11"/>
      <c r="L111" s="10"/>
      <c r="M111" s="10"/>
      <c r="N111" s="10"/>
      <c r="O111" s="10"/>
      <c r="P111" s="10"/>
      <c r="Q111" s="10"/>
      <c r="R111" s="10"/>
      <c r="S111" s="10"/>
      <c r="T111" s="12" t="n">
        <f aca="false">IFERROR(ROUND((IF(O111="Severe",4,IF(O111="Moderate",3,IF(O111="Minor",2,0)))+IF(P111="Severe",4,IF(P111="Moderate",3,IF(P111="Minor",2,0)))+IF(Q111="Severe",4,IF(Q111="Moderate",3,IF(Q111="Minor",2,0)))+IF(R111="Severe",4,IF(R111="Moderate",3,IF(R111="Minor",2,0))))/16*100,0),"")</f>
        <v>0</v>
      </c>
      <c r="U111" s="11"/>
      <c r="V111" s="10"/>
      <c r="W111" s="10"/>
      <c r="X111" s="10"/>
      <c r="Y111" s="13" t="n">
        <f aca="false">IFERROR(ROUND(IF(H111&gt;=10,30,IF(H111&gt;=5,20,IF(H111&gt;=2,10,0)))+IF(K111="Yes",20,IF(K111="Unsure",10,0))+IF(U111="Yes",30,IF(U111="Later",15,0))+IFERROR(T111/100*20,0),0),"")</f>
        <v>0</v>
      </c>
      <c r="Z111" s="11" t="str">
        <f aca="false">IFERROR(IF(Y111&gt;=80,"🔥 HOT",IF(Y111&gt;=60,"✅ STRONG",IF(Y111&gt;=40,"⚡ WARM",IF(Y111&gt;=20,"📋 NURTURE",IF(Y111&gt;0,"❌ COLD",""))))),"")</f>
        <v/>
      </c>
      <c r="AA111" s="11" t="str">
        <f aca="false">IFERROR(IF(AND(Y111&gt;=60,OR(U111="Yes",U111="Later")),"🚨 URGENT",IF(AND(Y111&gt;=40,I111="Call Back"),"📞 CALL BACK",IF(I111="Booked Meeting","📅 BOOKED",IF(I111="Not Interested","🚫 DEAD","⏳ WORKING")))),"")</f>
        <v>⏳ WORKING</v>
      </c>
      <c r="AB111" s="14"/>
      <c r="AC111" s="15"/>
      <c r="AD111" s="16" t="str">
        <f aca="true">IFERROR(IF(AC111="","",AC111-TODAY()),"")</f>
        <v/>
      </c>
      <c r="AE111" s="10"/>
    </row>
    <row r="112" customFormat="false" ht="19.5" hidden="false" customHeight="true" outlineLevel="0" collapsed="false">
      <c r="A112" s="17"/>
      <c r="B112" s="17"/>
      <c r="C112" s="17"/>
      <c r="D112" s="17"/>
      <c r="E112" s="17"/>
      <c r="F112" s="17"/>
      <c r="G112" s="17"/>
      <c r="H112" s="18"/>
      <c r="I112" s="17"/>
      <c r="J112" s="17"/>
      <c r="K112" s="18"/>
      <c r="L112" s="17"/>
      <c r="M112" s="17"/>
      <c r="N112" s="17"/>
      <c r="O112" s="17"/>
      <c r="P112" s="17"/>
      <c r="Q112" s="17"/>
      <c r="R112" s="17"/>
      <c r="S112" s="17"/>
      <c r="T112" s="19" t="n">
        <f aca="false">IFERROR(ROUND((IF(O112="Severe",4,IF(O112="Moderate",3,IF(O112="Minor",2,0)))+IF(P112="Severe",4,IF(P112="Moderate",3,IF(P112="Minor",2,0)))+IF(Q112="Severe",4,IF(Q112="Moderate",3,IF(Q112="Minor",2,0)))+IF(R112="Severe",4,IF(R112="Moderate",3,IF(R112="Minor",2,0))))/16*100,0),"")</f>
        <v>0</v>
      </c>
      <c r="U112" s="18"/>
      <c r="V112" s="17"/>
      <c r="W112" s="17"/>
      <c r="X112" s="17"/>
      <c r="Y112" s="20" t="n">
        <f aca="false">IFERROR(ROUND(IF(H112&gt;=10,30,IF(H112&gt;=5,20,IF(H112&gt;=2,10,0)))+IF(K112="Yes",20,IF(K112="Unsure",10,0))+IF(U112="Yes",30,IF(U112="Later",15,0))+IFERROR(T112/100*20,0),0),"")</f>
        <v>0</v>
      </c>
      <c r="Z112" s="18" t="str">
        <f aca="false">IFERROR(IF(Y112&gt;=80,"🔥 HOT",IF(Y112&gt;=60,"✅ STRONG",IF(Y112&gt;=40,"⚡ WARM",IF(Y112&gt;=20,"📋 NURTURE",IF(Y112&gt;0,"❌ COLD",""))))),"")</f>
        <v/>
      </c>
      <c r="AA112" s="18" t="str">
        <f aca="false">IFERROR(IF(AND(Y112&gt;=60,OR(U112="Yes",U112="Later")),"🚨 URGENT",IF(AND(Y112&gt;=40,I112="Call Back"),"📞 CALL BACK",IF(I112="Booked Meeting","📅 BOOKED",IF(I112="Not Interested","🚫 DEAD","⏳ WORKING")))),"")</f>
        <v>⏳ WORKING</v>
      </c>
      <c r="AB112" s="21"/>
      <c r="AC112" s="22"/>
      <c r="AD112" s="23" t="str">
        <f aca="true">IFERROR(IF(AC112="","",AC112-TODAY()),"")</f>
        <v/>
      </c>
      <c r="AE112" s="17"/>
    </row>
    <row r="113" customFormat="false" ht="19.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1"/>
      <c r="I113" s="10"/>
      <c r="J113" s="10"/>
      <c r="K113" s="11"/>
      <c r="L113" s="10"/>
      <c r="M113" s="10"/>
      <c r="N113" s="10"/>
      <c r="O113" s="10"/>
      <c r="P113" s="10"/>
      <c r="Q113" s="10"/>
      <c r="R113" s="10"/>
      <c r="S113" s="10"/>
      <c r="T113" s="12" t="n">
        <f aca="false">IFERROR(ROUND((IF(O113="Severe",4,IF(O113="Moderate",3,IF(O113="Minor",2,0)))+IF(P113="Severe",4,IF(P113="Moderate",3,IF(P113="Minor",2,0)))+IF(Q113="Severe",4,IF(Q113="Moderate",3,IF(Q113="Minor",2,0)))+IF(R113="Severe",4,IF(R113="Moderate",3,IF(R113="Minor",2,0))))/16*100,0),"")</f>
        <v>0</v>
      </c>
      <c r="U113" s="11"/>
      <c r="V113" s="10"/>
      <c r="W113" s="10"/>
      <c r="X113" s="10"/>
      <c r="Y113" s="13" t="n">
        <f aca="false">IFERROR(ROUND(IF(H113&gt;=10,30,IF(H113&gt;=5,20,IF(H113&gt;=2,10,0)))+IF(K113="Yes",20,IF(K113="Unsure",10,0))+IF(U113="Yes",30,IF(U113="Later",15,0))+IFERROR(T113/100*20,0),0),"")</f>
        <v>0</v>
      </c>
      <c r="Z113" s="11" t="str">
        <f aca="false">IFERROR(IF(Y113&gt;=80,"🔥 HOT",IF(Y113&gt;=60,"✅ STRONG",IF(Y113&gt;=40,"⚡ WARM",IF(Y113&gt;=20,"📋 NURTURE",IF(Y113&gt;0,"❌ COLD",""))))),"")</f>
        <v/>
      </c>
      <c r="AA113" s="11" t="str">
        <f aca="false">IFERROR(IF(AND(Y113&gt;=60,OR(U113="Yes",U113="Later")),"🚨 URGENT",IF(AND(Y113&gt;=40,I113="Call Back"),"📞 CALL BACK",IF(I113="Booked Meeting","📅 BOOKED",IF(I113="Not Interested","🚫 DEAD","⏳ WORKING")))),"")</f>
        <v>⏳ WORKING</v>
      </c>
      <c r="AB113" s="14"/>
      <c r="AC113" s="15"/>
      <c r="AD113" s="16" t="str">
        <f aca="true">IFERROR(IF(AC113="","",AC113-TODAY()),"")</f>
        <v/>
      </c>
      <c r="AE113" s="10"/>
    </row>
    <row r="114" customFormat="false" ht="19.5" hidden="false" customHeight="true" outlineLevel="0" collapsed="false">
      <c r="A114" s="17"/>
      <c r="B114" s="17"/>
      <c r="C114" s="17"/>
      <c r="D114" s="17"/>
      <c r="E114" s="17"/>
      <c r="F114" s="17"/>
      <c r="G114" s="17"/>
      <c r="H114" s="18"/>
      <c r="I114" s="17"/>
      <c r="J114" s="17"/>
      <c r="K114" s="18"/>
      <c r="L114" s="17"/>
      <c r="M114" s="17"/>
      <c r="N114" s="17"/>
      <c r="O114" s="17"/>
      <c r="P114" s="17"/>
      <c r="Q114" s="17"/>
      <c r="R114" s="17"/>
      <c r="S114" s="17"/>
      <c r="T114" s="19" t="n">
        <f aca="false">IFERROR(ROUND((IF(O114="Severe",4,IF(O114="Moderate",3,IF(O114="Minor",2,0)))+IF(P114="Severe",4,IF(P114="Moderate",3,IF(P114="Minor",2,0)))+IF(Q114="Severe",4,IF(Q114="Moderate",3,IF(Q114="Minor",2,0)))+IF(R114="Severe",4,IF(R114="Moderate",3,IF(R114="Minor",2,0))))/16*100,0),"")</f>
        <v>0</v>
      </c>
      <c r="U114" s="18"/>
      <c r="V114" s="17"/>
      <c r="W114" s="17"/>
      <c r="X114" s="17"/>
      <c r="Y114" s="20" t="n">
        <f aca="false">IFERROR(ROUND(IF(H114&gt;=10,30,IF(H114&gt;=5,20,IF(H114&gt;=2,10,0)))+IF(K114="Yes",20,IF(K114="Unsure",10,0))+IF(U114="Yes",30,IF(U114="Later",15,0))+IFERROR(T114/100*20,0),0),"")</f>
        <v>0</v>
      </c>
      <c r="Z114" s="18" t="str">
        <f aca="false">IFERROR(IF(Y114&gt;=80,"🔥 HOT",IF(Y114&gt;=60,"✅ STRONG",IF(Y114&gt;=40,"⚡ WARM",IF(Y114&gt;=20,"📋 NURTURE",IF(Y114&gt;0,"❌ COLD",""))))),"")</f>
        <v/>
      </c>
      <c r="AA114" s="18" t="str">
        <f aca="false">IFERROR(IF(AND(Y114&gt;=60,OR(U114="Yes",U114="Later")),"🚨 URGENT",IF(AND(Y114&gt;=40,I114="Call Back"),"📞 CALL BACK",IF(I114="Booked Meeting","📅 BOOKED",IF(I114="Not Interested","🚫 DEAD","⏳ WORKING")))),"")</f>
        <v>⏳ WORKING</v>
      </c>
      <c r="AB114" s="21"/>
      <c r="AC114" s="22"/>
      <c r="AD114" s="23" t="str">
        <f aca="true">IFERROR(IF(AC114="","",AC114-TODAY()),"")</f>
        <v/>
      </c>
      <c r="AE114" s="17"/>
    </row>
    <row r="115" customFormat="false" ht="19.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1"/>
      <c r="I115" s="10"/>
      <c r="J115" s="10"/>
      <c r="K115" s="11"/>
      <c r="L115" s="10"/>
      <c r="M115" s="10"/>
      <c r="N115" s="10"/>
      <c r="O115" s="10"/>
      <c r="P115" s="10"/>
      <c r="Q115" s="10"/>
      <c r="R115" s="10"/>
      <c r="S115" s="10"/>
      <c r="T115" s="12" t="n">
        <f aca="false">IFERROR(ROUND((IF(O115="Severe",4,IF(O115="Moderate",3,IF(O115="Minor",2,0)))+IF(P115="Severe",4,IF(P115="Moderate",3,IF(P115="Minor",2,0)))+IF(Q115="Severe",4,IF(Q115="Moderate",3,IF(Q115="Minor",2,0)))+IF(R115="Severe",4,IF(R115="Moderate",3,IF(R115="Minor",2,0))))/16*100,0),"")</f>
        <v>0</v>
      </c>
      <c r="U115" s="11"/>
      <c r="V115" s="10"/>
      <c r="W115" s="10"/>
      <c r="X115" s="10"/>
      <c r="Y115" s="13" t="n">
        <f aca="false">IFERROR(ROUND(IF(H115&gt;=10,30,IF(H115&gt;=5,20,IF(H115&gt;=2,10,0)))+IF(K115="Yes",20,IF(K115="Unsure",10,0))+IF(U115="Yes",30,IF(U115="Later",15,0))+IFERROR(T115/100*20,0),0),"")</f>
        <v>0</v>
      </c>
      <c r="Z115" s="11" t="str">
        <f aca="false">IFERROR(IF(Y115&gt;=80,"🔥 HOT",IF(Y115&gt;=60,"✅ STRONG",IF(Y115&gt;=40,"⚡ WARM",IF(Y115&gt;=20,"📋 NURTURE",IF(Y115&gt;0,"❌ COLD",""))))),"")</f>
        <v/>
      </c>
      <c r="AA115" s="11" t="str">
        <f aca="false">IFERROR(IF(AND(Y115&gt;=60,OR(U115="Yes",U115="Later")),"🚨 URGENT",IF(AND(Y115&gt;=40,I115="Call Back"),"📞 CALL BACK",IF(I115="Booked Meeting","📅 BOOKED",IF(I115="Not Interested","🚫 DEAD","⏳ WORKING")))),"")</f>
        <v>⏳ WORKING</v>
      </c>
      <c r="AB115" s="14"/>
      <c r="AC115" s="15"/>
      <c r="AD115" s="16" t="str">
        <f aca="true">IFERROR(IF(AC115="","",AC115-TODAY()),"")</f>
        <v/>
      </c>
      <c r="AE115" s="10"/>
    </row>
    <row r="116" customFormat="false" ht="19.5" hidden="false" customHeight="true" outlineLevel="0" collapsed="false">
      <c r="A116" s="17"/>
      <c r="B116" s="17"/>
      <c r="C116" s="17"/>
      <c r="D116" s="17"/>
      <c r="E116" s="17"/>
      <c r="F116" s="17"/>
      <c r="G116" s="17"/>
      <c r="H116" s="18"/>
      <c r="I116" s="17"/>
      <c r="J116" s="17"/>
      <c r="K116" s="18"/>
      <c r="L116" s="17"/>
      <c r="M116" s="17"/>
      <c r="N116" s="17"/>
      <c r="O116" s="17"/>
      <c r="P116" s="17"/>
      <c r="Q116" s="17"/>
      <c r="R116" s="17"/>
      <c r="S116" s="17"/>
      <c r="T116" s="19" t="n">
        <f aca="false">IFERROR(ROUND((IF(O116="Severe",4,IF(O116="Moderate",3,IF(O116="Minor",2,0)))+IF(P116="Severe",4,IF(P116="Moderate",3,IF(P116="Minor",2,0)))+IF(Q116="Severe",4,IF(Q116="Moderate",3,IF(Q116="Minor",2,0)))+IF(R116="Severe",4,IF(R116="Moderate",3,IF(R116="Minor",2,0))))/16*100,0),"")</f>
        <v>0</v>
      </c>
      <c r="U116" s="18"/>
      <c r="V116" s="17"/>
      <c r="W116" s="17"/>
      <c r="X116" s="17"/>
      <c r="Y116" s="20" t="n">
        <f aca="false">IFERROR(ROUND(IF(H116&gt;=10,30,IF(H116&gt;=5,20,IF(H116&gt;=2,10,0)))+IF(K116="Yes",20,IF(K116="Unsure",10,0))+IF(U116="Yes",30,IF(U116="Later",15,0))+IFERROR(T116/100*20,0),0),"")</f>
        <v>0</v>
      </c>
      <c r="Z116" s="18" t="str">
        <f aca="false">IFERROR(IF(Y116&gt;=80,"🔥 HOT",IF(Y116&gt;=60,"✅ STRONG",IF(Y116&gt;=40,"⚡ WARM",IF(Y116&gt;=20,"📋 NURTURE",IF(Y116&gt;0,"❌ COLD",""))))),"")</f>
        <v/>
      </c>
      <c r="AA116" s="18" t="str">
        <f aca="false">IFERROR(IF(AND(Y116&gt;=60,OR(U116="Yes",U116="Later")),"🚨 URGENT",IF(AND(Y116&gt;=40,I116="Call Back"),"📞 CALL BACK",IF(I116="Booked Meeting","📅 BOOKED",IF(I116="Not Interested","🚫 DEAD","⏳ WORKING")))),"")</f>
        <v>⏳ WORKING</v>
      </c>
      <c r="AB116" s="21"/>
      <c r="AC116" s="22"/>
      <c r="AD116" s="23" t="str">
        <f aca="true">IFERROR(IF(AC116="","",AC116-TODAY()),"")</f>
        <v/>
      </c>
      <c r="AE116" s="17"/>
    </row>
    <row r="117" customFormat="false" ht="19.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1"/>
      <c r="I117" s="10"/>
      <c r="J117" s="10"/>
      <c r="K117" s="11"/>
      <c r="L117" s="10"/>
      <c r="M117" s="10"/>
      <c r="N117" s="10"/>
      <c r="O117" s="10"/>
      <c r="P117" s="10"/>
      <c r="Q117" s="10"/>
      <c r="R117" s="10"/>
      <c r="S117" s="10"/>
      <c r="T117" s="12" t="n">
        <f aca="false">IFERROR(ROUND((IF(O117="Severe",4,IF(O117="Moderate",3,IF(O117="Minor",2,0)))+IF(P117="Severe",4,IF(P117="Moderate",3,IF(P117="Minor",2,0)))+IF(Q117="Severe",4,IF(Q117="Moderate",3,IF(Q117="Minor",2,0)))+IF(R117="Severe",4,IF(R117="Moderate",3,IF(R117="Minor",2,0))))/16*100,0),"")</f>
        <v>0</v>
      </c>
      <c r="U117" s="11"/>
      <c r="V117" s="10"/>
      <c r="W117" s="10"/>
      <c r="X117" s="10"/>
      <c r="Y117" s="13" t="n">
        <f aca="false">IFERROR(ROUND(IF(H117&gt;=10,30,IF(H117&gt;=5,20,IF(H117&gt;=2,10,0)))+IF(K117="Yes",20,IF(K117="Unsure",10,0))+IF(U117="Yes",30,IF(U117="Later",15,0))+IFERROR(T117/100*20,0),0),"")</f>
        <v>0</v>
      </c>
      <c r="Z117" s="11" t="str">
        <f aca="false">IFERROR(IF(Y117&gt;=80,"🔥 HOT",IF(Y117&gt;=60,"✅ STRONG",IF(Y117&gt;=40,"⚡ WARM",IF(Y117&gt;=20,"📋 NURTURE",IF(Y117&gt;0,"❌ COLD",""))))),"")</f>
        <v/>
      </c>
      <c r="AA117" s="11" t="str">
        <f aca="false">IFERROR(IF(AND(Y117&gt;=60,OR(U117="Yes",U117="Later")),"🚨 URGENT",IF(AND(Y117&gt;=40,I117="Call Back"),"📞 CALL BACK",IF(I117="Booked Meeting","📅 BOOKED",IF(I117="Not Interested","🚫 DEAD","⏳ WORKING")))),"")</f>
        <v>⏳ WORKING</v>
      </c>
      <c r="AB117" s="14"/>
      <c r="AC117" s="15"/>
      <c r="AD117" s="16" t="str">
        <f aca="true">IFERROR(IF(AC117="","",AC117-TODAY()),"")</f>
        <v/>
      </c>
      <c r="AE117" s="10"/>
    </row>
    <row r="118" customFormat="false" ht="19.5" hidden="false" customHeight="true" outlineLevel="0" collapsed="false">
      <c r="A118" s="17"/>
      <c r="B118" s="17"/>
      <c r="C118" s="17"/>
      <c r="D118" s="17"/>
      <c r="E118" s="17"/>
      <c r="F118" s="17"/>
      <c r="G118" s="17"/>
      <c r="H118" s="18"/>
      <c r="I118" s="17"/>
      <c r="J118" s="17"/>
      <c r="K118" s="18"/>
      <c r="L118" s="17"/>
      <c r="M118" s="17"/>
      <c r="N118" s="17"/>
      <c r="O118" s="17"/>
      <c r="P118" s="17"/>
      <c r="Q118" s="17"/>
      <c r="R118" s="17"/>
      <c r="S118" s="17"/>
      <c r="T118" s="19" t="n">
        <f aca="false">IFERROR(ROUND((IF(O118="Severe",4,IF(O118="Moderate",3,IF(O118="Minor",2,0)))+IF(P118="Severe",4,IF(P118="Moderate",3,IF(P118="Minor",2,0)))+IF(Q118="Severe",4,IF(Q118="Moderate",3,IF(Q118="Minor",2,0)))+IF(R118="Severe",4,IF(R118="Moderate",3,IF(R118="Minor",2,0))))/16*100,0),"")</f>
        <v>0</v>
      </c>
      <c r="U118" s="18"/>
      <c r="V118" s="17"/>
      <c r="W118" s="17"/>
      <c r="X118" s="17"/>
      <c r="Y118" s="20" t="n">
        <f aca="false">IFERROR(ROUND(IF(H118&gt;=10,30,IF(H118&gt;=5,20,IF(H118&gt;=2,10,0)))+IF(K118="Yes",20,IF(K118="Unsure",10,0))+IF(U118="Yes",30,IF(U118="Later",15,0))+IFERROR(T118/100*20,0),0),"")</f>
        <v>0</v>
      </c>
      <c r="Z118" s="18" t="str">
        <f aca="false">IFERROR(IF(Y118&gt;=80,"🔥 HOT",IF(Y118&gt;=60,"✅ STRONG",IF(Y118&gt;=40,"⚡ WARM",IF(Y118&gt;=20,"📋 NURTURE",IF(Y118&gt;0,"❌ COLD",""))))),"")</f>
        <v/>
      </c>
      <c r="AA118" s="18" t="str">
        <f aca="false">IFERROR(IF(AND(Y118&gt;=60,OR(U118="Yes",U118="Later")),"🚨 URGENT",IF(AND(Y118&gt;=40,I118="Call Back"),"📞 CALL BACK",IF(I118="Booked Meeting","📅 BOOKED",IF(I118="Not Interested","🚫 DEAD","⏳ WORKING")))),"")</f>
        <v>⏳ WORKING</v>
      </c>
      <c r="AB118" s="21"/>
      <c r="AC118" s="22"/>
      <c r="AD118" s="23" t="str">
        <f aca="true">IFERROR(IF(AC118="","",AC118-TODAY()),"")</f>
        <v/>
      </c>
      <c r="AE118" s="17"/>
    </row>
    <row r="119" customFormat="false" ht="19.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1"/>
      <c r="I119" s="10"/>
      <c r="J119" s="10"/>
      <c r="K119" s="11"/>
      <c r="L119" s="10"/>
      <c r="M119" s="10"/>
      <c r="N119" s="10"/>
      <c r="O119" s="10"/>
      <c r="P119" s="10"/>
      <c r="Q119" s="10"/>
      <c r="R119" s="10"/>
      <c r="S119" s="10"/>
      <c r="T119" s="12" t="n">
        <f aca="false">IFERROR(ROUND((IF(O119="Severe",4,IF(O119="Moderate",3,IF(O119="Minor",2,0)))+IF(P119="Severe",4,IF(P119="Moderate",3,IF(P119="Minor",2,0)))+IF(Q119="Severe",4,IF(Q119="Moderate",3,IF(Q119="Minor",2,0)))+IF(R119="Severe",4,IF(R119="Moderate",3,IF(R119="Minor",2,0))))/16*100,0),"")</f>
        <v>0</v>
      </c>
      <c r="U119" s="11"/>
      <c r="V119" s="10"/>
      <c r="W119" s="10"/>
      <c r="X119" s="10"/>
      <c r="Y119" s="13" t="n">
        <f aca="false">IFERROR(ROUND(IF(H119&gt;=10,30,IF(H119&gt;=5,20,IF(H119&gt;=2,10,0)))+IF(K119="Yes",20,IF(K119="Unsure",10,0))+IF(U119="Yes",30,IF(U119="Later",15,0))+IFERROR(T119/100*20,0),0),"")</f>
        <v>0</v>
      </c>
      <c r="Z119" s="11" t="str">
        <f aca="false">IFERROR(IF(Y119&gt;=80,"🔥 HOT",IF(Y119&gt;=60,"✅ STRONG",IF(Y119&gt;=40,"⚡ WARM",IF(Y119&gt;=20,"📋 NURTURE",IF(Y119&gt;0,"❌ COLD",""))))),"")</f>
        <v/>
      </c>
      <c r="AA119" s="11" t="str">
        <f aca="false">IFERROR(IF(AND(Y119&gt;=60,OR(U119="Yes",U119="Later")),"🚨 URGENT",IF(AND(Y119&gt;=40,I119="Call Back"),"📞 CALL BACK",IF(I119="Booked Meeting","📅 BOOKED",IF(I119="Not Interested","🚫 DEAD","⏳ WORKING")))),"")</f>
        <v>⏳ WORKING</v>
      </c>
      <c r="AB119" s="14"/>
      <c r="AC119" s="15"/>
      <c r="AD119" s="16" t="str">
        <f aca="true">IFERROR(IF(AC119="","",AC119-TODAY()),"")</f>
        <v/>
      </c>
      <c r="AE119" s="10"/>
    </row>
    <row r="120" customFormat="false" ht="19.5" hidden="false" customHeight="true" outlineLevel="0" collapsed="false">
      <c r="A120" s="17"/>
      <c r="B120" s="17"/>
      <c r="C120" s="17"/>
      <c r="D120" s="17"/>
      <c r="E120" s="17"/>
      <c r="F120" s="17"/>
      <c r="G120" s="17"/>
      <c r="H120" s="18"/>
      <c r="I120" s="17"/>
      <c r="J120" s="17"/>
      <c r="K120" s="18"/>
      <c r="L120" s="17"/>
      <c r="M120" s="17"/>
      <c r="N120" s="17"/>
      <c r="O120" s="17"/>
      <c r="P120" s="17"/>
      <c r="Q120" s="17"/>
      <c r="R120" s="17"/>
      <c r="S120" s="17"/>
      <c r="T120" s="19" t="n">
        <f aca="false">IFERROR(ROUND((IF(O120="Severe",4,IF(O120="Moderate",3,IF(O120="Minor",2,0)))+IF(P120="Severe",4,IF(P120="Moderate",3,IF(P120="Minor",2,0)))+IF(Q120="Severe",4,IF(Q120="Moderate",3,IF(Q120="Minor",2,0)))+IF(R120="Severe",4,IF(R120="Moderate",3,IF(R120="Minor",2,0))))/16*100,0),"")</f>
        <v>0</v>
      </c>
      <c r="U120" s="18"/>
      <c r="V120" s="17"/>
      <c r="W120" s="17"/>
      <c r="X120" s="17"/>
      <c r="Y120" s="20" t="n">
        <f aca="false">IFERROR(ROUND(IF(H120&gt;=10,30,IF(H120&gt;=5,20,IF(H120&gt;=2,10,0)))+IF(K120="Yes",20,IF(K120="Unsure",10,0))+IF(U120="Yes",30,IF(U120="Later",15,0))+IFERROR(T120/100*20,0),0),"")</f>
        <v>0</v>
      </c>
      <c r="Z120" s="18" t="str">
        <f aca="false">IFERROR(IF(Y120&gt;=80,"🔥 HOT",IF(Y120&gt;=60,"✅ STRONG",IF(Y120&gt;=40,"⚡ WARM",IF(Y120&gt;=20,"📋 NURTURE",IF(Y120&gt;0,"❌ COLD",""))))),"")</f>
        <v/>
      </c>
      <c r="AA120" s="18" t="str">
        <f aca="false">IFERROR(IF(AND(Y120&gt;=60,OR(U120="Yes",U120="Later")),"🚨 URGENT",IF(AND(Y120&gt;=40,I120="Call Back"),"📞 CALL BACK",IF(I120="Booked Meeting","📅 BOOKED",IF(I120="Not Interested","🚫 DEAD","⏳ WORKING")))),"")</f>
        <v>⏳ WORKING</v>
      </c>
      <c r="AB120" s="21"/>
      <c r="AC120" s="22"/>
      <c r="AD120" s="23" t="str">
        <f aca="true">IFERROR(IF(AC120="","",AC120-TODAY()),"")</f>
        <v/>
      </c>
      <c r="AE120" s="17"/>
    </row>
    <row r="121" customFormat="false" ht="19.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1"/>
      <c r="I121" s="10"/>
      <c r="J121" s="10"/>
      <c r="K121" s="11"/>
      <c r="L121" s="10"/>
      <c r="M121" s="10"/>
      <c r="N121" s="10"/>
      <c r="O121" s="10"/>
      <c r="P121" s="10"/>
      <c r="Q121" s="10"/>
      <c r="R121" s="10"/>
      <c r="S121" s="10"/>
      <c r="T121" s="12" t="n">
        <f aca="false">IFERROR(ROUND((IF(O121="Severe",4,IF(O121="Moderate",3,IF(O121="Minor",2,0)))+IF(P121="Severe",4,IF(P121="Moderate",3,IF(P121="Minor",2,0)))+IF(Q121="Severe",4,IF(Q121="Moderate",3,IF(Q121="Minor",2,0)))+IF(R121="Severe",4,IF(R121="Moderate",3,IF(R121="Minor",2,0))))/16*100,0),"")</f>
        <v>0</v>
      </c>
      <c r="U121" s="11"/>
      <c r="V121" s="10"/>
      <c r="W121" s="10"/>
      <c r="X121" s="10"/>
      <c r="Y121" s="13" t="n">
        <f aca="false">IFERROR(ROUND(IF(H121&gt;=10,30,IF(H121&gt;=5,20,IF(H121&gt;=2,10,0)))+IF(K121="Yes",20,IF(K121="Unsure",10,0))+IF(U121="Yes",30,IF(U121="Later",15,0))+IFERROR(T121/100*20,0),0),"")</f>
        <v>0</v>
      </c>
      <c r="Z121" s="11" t="str">
        <f aca="false">IFERROR(IF(Y121&gt;=80,"🔥 HOT",IF(Y121&gt;=60,"✅ STRONG",IF(Y121&gt;=40,"⚡ WARM",IF(Y121&gt;=20,"📋 NURTURE",IF(Y121&gt;0,"❌ COLD",""))))),"")</f>
        <v/>
      </c>
      <c r="AA121" s="11" t="str">
        <f aca="false">IFERROR(IF(AND(Y121&gt;=60,OR(U121="Yes",U121="Later")),"🚨 URGENT",IF(AND(Y121&gt;=40,I121="Call Back"),"📞 CALL BACK",IF(I121="Booked Meeting","📅 BOOKED",IF(I121="Not Interested","🚫 DEAD","⏳ WORKING")))),"")</f>
        <v>⏳ WORKING</v>
      </c>
      <c r="AB121" s="14"/>
      <c r="AC121" s="15"/>
      <c r="AD121" s="16" t="str">
        <f aca="true">IFERROR(IF(AC121="","",AC121-TODAY()),"")</f>
        <v/>
      </c>
      <c r="AE121" s="10"/>
    </row>
    <row r="122" customFormat="false" ht="19.5" hidden="false" customHeight="true" outlineLevel="0" collapsed="false">
      <c r="A122" s="17"/>
      <c r="B122" s="17"/>
      <c r="C122" s="17"/>
      <c r="D122" s="17"/>
      <c r="E122" s="17"/>
      <c r="F122" s="17"/>
      <c r="G122" s="17"/>
      <c r="H122" s="18"/>
      <c r="I122" s="17"/>
      <c r="J122" s="17"/>
      <c r="K122" s="18"/>
      <c r="L122" s="17"/>
      <c r="M122" s="17"/>
      <c r="N122" s="17"/>
      <c r="O122" s="17"/>
      <c r="P122" s="17"/>
      <c r="Q122" s="17"/>
      <c r="R122" s="17"/>
      <c r="S122" s="17"/>
      <c r="T122" s="19" t="n">
        <f aca="false">IFERROR(ROUND((IF(O122="Severe",4,IF(O122="Moderate",3,IF(O122="Minor",2,0)))+IF(P122="Severe",4,IF(P122="Moderate",3,IF(P122="Minor",2,0)))+IF(Q122="Severe",4,IF(Q122="Moderate",3,IF(Q122="Minor",2,0)))+IF(R122="Severe",4,IF(R122="Moderate",3,IF(R122="Minor",2,0))))/16*100,0),"")</f>
        <v>0</v>
      </c>
      <c r="U122" s="18"/>
      <c r="V122" s="17"/>
      <c r="W122" s="17"/>
      <c r="X122" s="17"/>
      <c r="Y122" s="20" t="n">
        <f aca="false">IFERROR(ROUND(IF(H122&gt;=10,30,IF(H122&gt;=5,20,IF(H122&gt;=2,10,0)))+IF(K122="Yes",20,IF(K122="Unsure",10,0))+IF(U122="Yes",30,IF(U122="Later",15,0))+IFERROR(T122/100*20,0),0),"")</f>
        <v>0</v>
      </c>
      <c r="Z122" s="18" t="str">
        <f aca="false">IFERROR(IF(Y122&gt;=80,"🔥 HOT",IF(Y122&gt;=60,"✅ STRONG",IF(Y122&gt;=40,"⚡ WARM",IF(Y122&gt;=20,"📋 NURTURE",IF(Y122&gt;0,"❌ COLD",""))))),"")</f>
        <v/>
      </c>
      <c r="AA122" s="18" t="str">
        <f aca="false">IFERROR(IF(AND(Y122&gt;=60,OR(U122="Yes",U122="Later")),"🚨 URGENT",IF(AND(Y122&gt;=40,I122="Call Back"),"📞 CALL BACK",IF(I122="Booked Meeting","📅 BOOKED",IF(I122="Not Interested","🚫 DEAD","⏳ WORKING")))),"")</f>
        <v>⏳ WORKING</v>
      </c>
      <c r="AB122" s="21"/>
      <c r="AC122" s="22"/>
      <c r="AD122" s="23" t="str">
        <f aca="true">IFERROR(IF(AC122="","",AC122-TODAY()),"")</f>
        <v/>
      </c>
      <c r="AE122" s="17"/>
    </row>
    <row r="123" customFormat="false" ht="19.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1"/>
      <c r="I123" s="10"/>
      <c r="J123" s="10"/>
      <c r="K123" s="11"/>
      <c r="L123" s="10"/>
      <c r="M123" s="10"/>
      <c r="N123" s="10"/>
      <c r="O123" s="10"/>
      <c r="P123" s="10"/>
      <c r="Q123" s="10"/>
      <c r="R123" s="10"/>
      <c r="S123" s="10"/>
      <c r="T123" s="12" t="n">
        <f aca="false">IFERROR(ROUND((IF(O123="Severe",4,IF(O123="Moderate",3,IF(O123="Minor",2,0)))+IF(P123="Severe",4,IF(P123="Moderate",3,IF(P123="Minor",2,0)))+IF(Q123="Severe",4,IF(Q123="Moderate",3,IF(Q123="Minor",2,0)))+IF(R123="Severe",4,IF(R123="Moderate",3,IF(R123="Minor",2,0))))/16*100,0),"")</f>
        <v>0</v>
      </c>
      <c r="U123" s="11"/>
      <c r="V123" s="10"/>
      <c r="W123" s="10"/>
      <c r="X123" s="10"/>
      <c r="Y123" s="13" t="n">
        <f aca="false">IFERROR(ROUND(IF(H123&gt;=10,30,IF(H123&gt;=5,20,IF(H123&gt;=2,10,0)))+IF(K123="Yes",20,IF(K123="Unsure",10,0))+IF(U123="Yes",30,IF(U123="Later",15,0))+IFERROR(T123/100*20,0),0),"")</f>
        <v>0</v>
      </c>
      <c r="Z123" s="11" t="str">
        <f aca="false">IFERROR(IF(Y123&gt;=80,"🔥 HOT",IF(Y123&gt;=60,"✅ STRONG",IF(Y123&gt;=40,"⚡ WARM",IF(Y123&gt;=20,"📋 NURTURE",IF(Y123&gt;0,"❌ COLD",""))))),"")</f>
        <v/>
      </c>
      <c r="AA123" s="11" t="str">
        <f aca="false">IFERROR(IF(AND(Y123&gt;=60,OR(U123="Yes",U123="Later")),"🚨 URGENT",IF(AND(Y123&gt;=40,I123="Call Back"),"📞 CALL BACK",IF(I123="Booked Meeting","📅 BOOKED",IF(I123="Not Interested","🚫 DEAD","⏳ WORKING")))),"")</f>
        <v>⏳ WORKING</v>
      </c>
      <c r="AB123" s="14"/>
      <c r="AC123" s="15"/>
      <c r="AD123" s="16" t="str">
        <f aca="true">IFERROR(IF(AC123="","",AC123-TODAY()),"")</f>
        <v/>
      </c>
      <c r="AE123" s="10"/>
    </row>
    <row r="124" customFormat="false" ht="19.5" hidden="false" customHeight="true" outlineLevel="0" collapsed="false">
      <c r="A124" s="17"/>
      <c r="B124" s="17"/>
      <c r="C124" s="17"/>
      <c r="D124" s="17"/>
      <c r="E124" s="17"/>
      <c r="F124" s="17"/>
      <c r="G124" s="17"/>
      <c r="H124" s="18"/>
      <c r="I124" s="17"/>
      <c r="J124" s="17"/>
      <c r="K124" s="18"/>
      <c r="L124" s="17"/>
      <c r="M124" s="17"/>
      <c r="N124" s="17"/>
      <c r="O124" s="17"/>
      <c r="P124" s="17"/>
      <c r="Q124" s="17"/>
      <c r="R124" s="17"/>
      <c r="S124" s="17"/>
      <c r="T124" s="19" t="n">
        <f aca="false">IFERROR(ROUND((IF(O124="Severe",4,IF(O124="Moderate",3,IF(O124="Minor",2,0)))+IF(P124="Severe",4,IF(P124="Moderate",3,IF(P124="Minor",2,0)))+IF(Q124="Severe",4,IF(Q124="Moderate",3,IF(Q124="Minor",2,0)))+IF(R124="Severe",4,IF(R124="Moderate",3,IF(R124="Minor",2,0))))/16*100,0),"")</f>
        <v>0</v>
      </c>
      <c r="U124" s="18"/>
      <c r="V124" s="17"/>
      <c r="W124" s="17"/>
      <c r="X124" s="17"/>
      <c r="Y124" s="20" t="n">
        <f aca="false">IFERROR(ROUND(IF(H124&gt;=10,30,IF(H124&gt;=5,20,IF(H124&gt;=2,10,0)))+IF(K124="Yes",20,IF(K124="Unsure",10,0))+IF(U124="Yes",30,IF(U124="Later",15,0))+IFERROR(T124/100*20,0),0),"")</f>
        <v>0</v>
      </c>
      <c r="Z124" s="18" t="str">
        <f aca="false">IFERROR(IF(Y124&gt;=80,"🔥 HOT",IF(Y124&gt;=60,"✅ STRONG",IF(Y124&gt;=40,"⚡ WARM",IF(Y124&gt;=20,"📋 NURTURE",IF(Y124&gt;0,"❌ COLD",""))))),"")</f>
        <v/>
      </c>
      <c r="AA124" s="18" t="str">
        <f aca="false">IFERROR(IF(AND(Y124&gt;=60,OR(U124="Yes",U124="Later")),"🚨 URGENT",IF(AND(Y124&gt;=40,I124="Call Back"),"📞 CALL BACK",IF(I124="Booked Meeting","📅 BOOKED",IF(I124="Not Interested","🚫 DEAD","⏳ WORKING")))),"")</f>
        <v>⏳ WORKING</v>
      </c>
      <c r="AB124" s="21"/>
      <c r="AC124" s="22"/>
      <c r="AD124" s="23" t="str">
        <f aca="true">IFERROR(IF(AC124="","",AC124-TODAY()),"")</f>
        <v/>
      </c>
      <c r="AE124" s="17"/>
    </row>
    <row r="125" customFormat="false" ht="19.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1"/>
      <c r="I125" s="10"/>
      <c r="J125" s="10"/>
      <c r="K125" s="11"/>
      <c r="L125" s="10"/>
      <c r="M125" s="10"/>
      <c r="N125" s="10"/>
      <c r="O125" s="10"/>
      <c r="P125" s="10"/>
      <c r="Q125" s="10"/>
      <c r="R125" s="10"/>
      <c r="S125" s="10"/>
      <c r="T125" s="12" t="n">
        <f aca="false">IFERROR(ROUND((IF(O125="Severe",4,IF(O125="Moderate",3,IF(O125="Minor",2,0)))+IF(P125="Severe",4,IF(P125="Moderate",3,IF(P125="Minor",2,0)))+IF(Q125="Severe",4,IF(Q125="Moderate",3,IF(Q125="Minor",2,0)))+IF(R125="Severe",4,IF(R125="Moderate",3,IF(R125="Minor",2,0))))/16*100,0),"")</f>
        <v>0</v>
      </c>
      <c r="U125" s="11"/>
      <c r="V125" s="10"/>
      <c r="W125" s="10"/>
      <c r="X125" s="10"/>
      <c r="Y125" s="13" t="n">
        <f aca="false">IFERROR(ROUND(IF(H125&gt;=10,30,IF(H125&gt;=5,20,IF(H125&gt;=2,10,0)))+IF(K125="Yes",20,IF(K125="Unsure",10,0))+IF(U125="Yes",30,IF(U125="Later",15,0))+IFERROR(T125/100*20,0),0),"")</f>
        <v>0</v>
      </c>
      <c r="Z125" s="11" t="str">
        <f aca="false">IFERROR(IF(Y125&gt;=80,"🔥 HOT",IF(Y125&gt;=60,"✅ STRONG",IF(Y125&gt;=40,"⚡ WARM",IF(Y125&gt;=20,"📋 NURTURE",IF(Y125&gt;0,"❌ COLD",""))))),"")</f>
        <v/>
      </c>
      <c r="AA125" s="11" t="str">
        <f aca="false">IFERROR(IF(AND(Y125&gt;=60,OR(U125="Yes",U125="Later")),"🚨 URGENT",IF(AND(Y125&gt;=40,I125="Call Back"),"📞 CALL BACK",IF(I125="Booked Meeting","📅 BOOKED",IF(I125="Not Interested","🚫 DEAD","⏳ WORKING")))),"")</f>
        <v>⏳ WORKING</v>
      </c>
      <c r="AB125" s="14"/>
      <c r="AC125" s="15"/>
      <c r="AD125" s="16" t="str">
        <f aca="true">IFERROR(IF(AC125="","",AC125-TODAY()),"")</f>
        <v/>
      </c>
      <c r="AE125" s="10"/>
    </row>
    <row r="126" customFormat="false" ht="19.5" hidden="false" customHeight="true" outlineLevel="0" collapsed="false">
      <c r="A126" s="17"/>
      <c r="B126" s="17"/>
      <c r="C126" s="17"/>
      <c r="D126" s="17"/>
      <c r="E126" s="17"/>
      <c r="F126" s="17"/>
      <c r="G126" s="17"/>
      <c r="H126" s="18"/>
      <c r="I126" s="17"/>
      <c r="J126" s="17"/>
      <c r="K126" s="18"/>
      <c r="L126" s="17"/>
      <c r="M126" s="17"/>
      <c r="N126" s="17"/>
      <c r="O126" s="17"/>
      <c r="P126" s="17"/>
      <c r="Q126" s="17"/>
      <c r="R126" s="17"/>
      <c r="S126" s="17"/>
      <c r="T126" s="19" t="n">
        <f aca="false">IFERROR(ROUND((IF(O126="Severe",4,IF(O126="Moderate",3,IF(O126="Minor",2,0)))+IF(P126="Severe",4,IF(P126="Moderate",3,IF(P126="Minor",2,0)))+IF(Q126="Severe",4,IF(Q126="Moderate",3,IF(Q126="Minor",2,0)))+IF(R126="Severe",4,IF(R126="Moderate",3,IF(R126="Minor",2,0))))/16*100,0),"")</f>
        <v>0</v>
      </c>
      <c r="U126" s="18"/>
      <c r="V126" s="17"/>
      <c r="W126" s="17"/>
      <c r="X126" s="17"/>
      <c r="Y126" s="20" t="n">
        <f aca="false">IFERROR(ROUND(IF(H126&gt;=10,30,IF(H126&gt;=5,20,IF(H126&gt;=2,10,0)))+IF(K126="Yes",20,IF(K126="Unsure",10,0))+IF(U126="Yes",30,IF(U126="Later",15,0))+IFERROR(T126/100*20,0),0),"")</f>
        <v>0</v>
      </c>
      <c r="Z126" s="18" t="str">
        <f aca="false">IFERROR(IF(Y126&gt;=80,"🔥 HOT",IF(Y126&gt;=60,"✅ STRONG",IF(Y126&gt;=40,"⚡ WARM",IF(Y126&gt;=20,"📋 NURTURE",IF(Y126&gt;0,"❌ COLD",""))))),"")</f>
        <v/>
      </c>
      <c r="AA126" s="18" t="str">
        <f aca="false">IFERROR(IF(AND(Y126&gt;=60,OR(U126="Yes",U126="Later")),"🚨 URGENT",IF(AND(Y126&gt;=40,I126="Call Back"),"📞 CALL BACK",IF(I126="Booked Meeting","📅 BOOKED",IF(I126="Not Interested","🚫 DEAD","⏳ WORKING")))),"")</f>
        <v>⏳ WORKING</v>
      </c>
      <c r="AB126" s="21"/>
      <c r="AC126" s="22"/>
      <c r="AD126" s="23" t="str">
        <f aca="true">IFERROR(IF(AC126="","",AC126-TODAY()),"")</f>
        <v/>
      </c>
      <c r="AE126" s="17"/>
    </row>
    <row r="127" customFormat="false" ht="19.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1"/>
      <c r="I127" s="10"/>
      <c r="J127" s="10"/>
      <c r="K127" s="11"/>
      <c r="L127" s="10"/>
      <c r="M127" s="10"/>
      <c r="N127" s="10"/>
      <c r="O127" s="10"/>
      <c r="P127" s="10"/>
      <c r="Q127" s="10"/>
      <c r="R127" s="10"/>
      <c r="S127" s="10"/>
      <c r="T127" s="12" t="n">
        <f aca="false">IFERROR(ROUND((IF(O127="Severe",4,IF(O127="Moderate",3,IF(O127="Minor",2,0)))+IF(P127="Severe",4,IF(P127="Moderate",3,IF(P127="Minor",2,0)))+IF(Q127="Severe",4,IF(Q127="Moderate",3,IF(Q127="Minor",2,0)))+IF(R127="Severe",4,IF(R127="Moderate",3,IF(R127="Minor",2,0))))/16*100,0),"")</f>
        <v>0</v>
      </c>
      <c r="U127" s="11"/>
      <c r="V127" s="10"/>
      <c r="W127" s="10"/>
      <c r="X127" s="10"/>
      <c r="Y127" s="13" t="n">
        <f aca="false">IFERROR(ROUND(IF(H127&gt;=10,30,IF(H127&gt;=5,20,IF(H127&gt;=2,10,0)))+IF(K127="Yes",20,IF(K127="Unsure",10,0))+IF(U127="Yes",30,IF(U127="Later",15,0))+IFERROR(T127/100*20,0),0),"")</f>
        <v>0</v>
      </c>
      <c r="Z127" s="11" t="str">
        <f aca="false">IFERROR(IF(Y127&gt;=80,"🔥 HOT",IF(Y127&gt;=60,"✅ STRONG",IF(Y127&gt;=40,"⚡ WARM",IF(Y127&gt;=20,"📋 NURTURE",IF(Y127&gt;0,"❌ COLD",""))))),"")</f>
        <v/>
      </c>
      <c r="AA127" s="11" t="str">
        <f aca="false">IFERROR(IF(AND(Y127&gt;=60,OR(U127="Yes",U127="Later")),"🚨 URGENT",IF(AND(Y127&gt;=40,I127="Call Back"),"📞 CALL BACK",IF(I127="Booked Meeting","📅 BOOKED",IF(I127="Not Interested","🚫 DEAD","⏳ WORKING")))),"")</f>
        <v>⏳ WORKING</v>
      </c>
      <c r="AB127" s="14"/>
      <c r="AC127" s="15"/>
      <c r="AD127" s="16" t="str">
        <f aca="true">IFERROR(IF(AC127="","",AC127-TODAY()),"")</f>
        <v/>
      </c>
      <c r="AE127" s="10"/>
    </row>
    <row r="128" customFormat="false" ht="19.5" hidden="false" customHeight="true" outlineLevel="0" collapsed="false">
      <c r="A128" s="17"/>
      <c r="B128" s="17"/>
      <c r="C128" s="17"/>
      <c r="D128" s="17"/>
      <c r="E128" s="17"/>
      <c r="F128" s="17"/>
      <c r="G128" s="17"/>
      <c r="H128" s="18"/>
      <c r="I128" s="17"/>
      <c r="J128" s="17"/>
      <c r="K128" s="18"/>
      <c r="L128" s="17"/>
      <c r="M128" s="17"/>
      <c r="N128" s="17"/>
      <c r="O128" s="17"/>
      <c r="P128" s="17"/>
      <c r="Q128" s="17"/>
      <c r="R128" s="17"/>
      <c r="S128" s="17"/>
      <c r="T128" s="19" t="n">
        <f aca="false">IFERROR(ROUND((IF(O128="Severe",4,IF(O128="Moderate",3,IF(O128="Minor",2,0)))+IF(P128="Severe",4,IF(P128="Moderate",3,IF(P128="Minor",2,0)))+IF(Q128="Severe",4,IF(Q128="Moderate",3,IF(Q128="Minor",2,0)))+IF(R128="Severe",4,IF(R128="Moderate",3,IF(R128="Minor",2,0))))/16*100,0),"")</f>
        <v>0</v>
      </c>
      <c r="U128" s="18"/>
      <c r="V128" s="17"/>
      <c r="W128" s="17"/>
      <c r="X128" s="17"/>
      <c r="Y128" s="20" t="n">
        <f aca="false">IFERROR(ROUND(IF(H128&gt;=10,30,IF(H128&gt;=5,20,IF(H128&gt;=2,10,0)))+IF(K128="Yes",20,IF(K128="Unsure",10,0))+IF(U128="Yes",30,IF(U128="Later",15,0))+IFERROR(T128/100*20,0),0),"")</f>
        <v>0</v>
      </c>
      <c r="Z128" s="18" t="str">
        <f aca="false">IFERROR(IF(Y128&gt;=80,"🔥 HOT",IF(Y128&gt;=60,"✅ STRONG",IF(Y128&gt;=40,"⚡ WARM",IF(Y128&gt;=20,"📋 NURTURE",IF(Y128&gt;0,"❌ COLD",""))))),"")</f>
        <v/>
      </c>
      <c r="AA128" s="18" t="str">
        <f aca="false">IFERROR(IF(AND(Y128&gt;=60,OR(U128="Yes",U128="Later")),"🚨 URGENT",IF(AND(Y128&gt;=40,I128="Call Back"),"📞 CALL BACK",IF(I128="Booked Meeting","📅 BOOKED",IF(I128="Not Interested","🚫 DEAD","⏳ WORKING")))),"")</f>
        <v>⏳ WORKING</v>
      </c>
      <c r="AB128" s="21"/>
      <c r="AC128" s="22"/>
      <c r="AD128" s="23" t="str">
        <f aca="true">IFERROR(IF(AC128="","",AC128-TODAY()),"")</f>
        <v/>
      </c>
      <c r="AE128" s="17"/>
    </row>
    <row r="129" customFormat="false" ht="19.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1"/>
      <c r="I129" s="10"/>
      <c r="J129" s="10"/>
      <c r="K129" s="11"/>
      <c r="L129" s="10"/>
      <c r="M129" s="10"/>
      <c r="N129" s="10"/>
      <c r="O129" s="10"/>
      <c r="P129" s="10"/>
      <c r="Q129" s="10"/>
      <c r="R129" s="10"/>
      <c r="S129" s="10"/>
      <c r="T129" s="12" t="n">
        <f aca="false">IFERROR(ROUND((IF(O129="Severe",4,IF(O129="Moderate",3,IF(O129="Minor",2,0)))+IF(P129="Severe",4,IF(P129="Moderate",3,IF(P129="Minor",2,0)))+IF(Q129="Severe",4,IF(Q129="Moderate",3,IF(Q129="Minor",2,0)))+IF(R129="Severe",4,IF(R129="Moderate",3,IF(R129="Minor",2,0))))/16*100,0),"")</f>
        <v>0</v>
      </c>
      <c r="U129" s="11"/>
      <c r="V129" s="10"/>
      <c r="W129" s="10"/>
      <c r="X129" s="10"/>
      <c r="Y129" s="13" t="n">
        <f aca="false">IFERROR(ROUND(IF(H129&gt;=10,30,IF(H129&gt;=5,20,IF(H129&gt;=2,10,0)))+IF(K129="Yes",20,IF(K129="Unsure",10,0))+IF(U129="Yes",30,IF(U129="Later",15,0))+IFERROR(T129/100*20,0),0),"")</f>
        <v>0</v>
      </c>
      <c r="Z129" s="11" t="str">
        <f aca="false">IFERROR(IF(Y129&gt;=80,"🔥 HOT",IF(Y129&gt;=60,"✅ STRONG",IF(Y129&gt;=40,"⚡ WARM",IF(Y129&gt;=20,"📋 NURTURE",IF(Y129&gt;0,"❌ COLD",""))))),"")</f>
        <v/>
      </c>
      <c r="AA129" s="11" t="str">
        <f aca="false">IFERROR(IF(AND(Y129&gt;=60,OR(U129="Yes",U129="Later")),"🚨 URGENT",IF(AND(Y129&gt;=40,I129="Call Back"),"📞 CALL BACK",IF(I129="Booked Meeting","📅 BOOKED",IF(I129="Not Interested","🚫 DEAD","⏳ WORKING")))),"")</f>
        <v>⏳ WORKING</v>
      </c>
      <c r="AB129" s="14"/>
      <c r="AC129" s="15"/>
      <c r="AD129" s="16" t="str">
        <f aca="true">IFERROR(IF(AC129="","",AC129-TODAY()),"")</f>
        <v/>
      </c>
      <c r="AE129" s="10"/>
    </row>
    <row r="130" customFormat="false" ht="19.5" hidden="false" customHeight="true" outlineLevel="0" collapsed="false">
      <c r="A130" s="17"/>
      <c r="B130" s="17"/>
      <c r="C130" s="17"/>
      <c r="D130" s="17"/>
      <c r="E130" s="17"/>
      <c r="F130" s="17"/>
      <c r="G130" s="17"/>
      <c r="H130" s="18"/>
      <c r="I130" s="17"/>
      <c r="J130" s="17"/>
      <c r="K130" s="18"/>
      <c r="L130" s="17"/>
      <c r="M130" s="17"/>
      <c r="N130" s="17"/>
      <c r="O130" s="17"/>
      <c r="P130" s="17"/>
      <c r="Q130" s="17"/>
      <c r="R130" s="17"/>
      <c r="S130" s="17"/>
      <c r="T130" s="19" t="n">
        <f aca="false">IFERROR(ROUND((IF(O130="Severe",4,IF(O130="Moderate",3,IF(O130="Minor",2,0)))+IF(P130="Severe",4,IF(P130="Moderate",3,IF(P130="Minor",2,0)))+IF(Q130="Severe",4,IF(Q130="Moderate",3,IF(Q130="Minor",2,0)))+IF(R130="Severe",4,IF(R130="Moderate",3,IF(R130="Minor",2,0))))/16*100,0),"")</f>
        <v>0</v>
      </c>
      <c r="U130" s="18"/>
      <c r="V130" s="17"/>
      <c r="W130" s="17"/>
      <c r="X130" s="17"/>
      <c r="Y130" s="20" t="n">
        <f aca="false">IFERROR(ROUND(IF(H130&gt;=10,30,IF(H130&gt;=5,20,IF(H130&gt;=2,10,0)))+IF(K130="Yes",20,IF(K130="Unsure",10,0))+IF(U130="Yes",30,IF(U130="Later",15,0))+IFERROR(T130/100*20,0),0),"")</f>
        <v>0</v>
      </c>
      <c r="Z130" s="18" t="str">
        <f aca="false">IFERROR(IF(Y130&gt;=80,"🔥 HOT",IF(Y130&gt;=60,"✅ STRONG",IF(Y130&gt;=40,"⚡ WARM",IF(Y130&gt;=20,"📋 NURTURE",IF(Y130&gt;0,"❌ COLD",""))))),"")</f>
        <v/>
      </c>
      <c r="AA130" s="18" t="str">
        <f aca="false">IFERROR(IF(AND(Y130&gt;=60,OR(U130="Yes",U130="Later")),"🚨 URGENT",IF(AND(Y130&gt;=40,I130="Call Back"),"📞 CALL BACK",IF(I130="Booked Meeting","📅 BOOKED",IF(I130="Not Interested","🚫 DEAD","⏳ WORKING")))),"")</f>
        <v>⏳ WORKING</v>
      </c>
      <c r="AB130" s="21"/>
      <c r="AC130" s="22"/>
      <c r="AD130" s="23" t="str">
        <f aca="true">IFERROR(IF(AC130="","",AC130-TODAY()),"")</f>
        <v/>
      </c>
      <c r="AE130" s="17"/>
    </row>
    <row r="131" customFormat="false" ht="19.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1"/>
      <c r="I131" s="10"/>
      <c r="J131" s="10"/>
      <c r="K131" s="11"/>
      <c r="L131" s="10"/>
      <c r="M131" s="10"/>
      <c r="N131" s="10"/>
      <c r="O131" s="10"/>
      <c r="P131" s="10"/>
      <c r="Q131" s="10"/>
      <c r="R131" s="10"/>
      <c r="S131" s="10"/>
      <c r="T131" s="12" t="n">
        <f aca="false">IFERROR(ROUND((IF(O131="Severe",4,IF(O131="Moderate",3,IF(O131="Minor",2,0)))+IF(P131="Severe",4,IF(P131="Moderate",3,IF(P131="Minor",2,0)))+IF(Q131="Severe",4,IF(Q131="Moderate",3,IF(Q131="Minor",2,0)))+IF(R131="Severe",4,IF(R131="Moderate",3,IF(R131="Minor",2,0))))/16*100,0),"")</f>
        <v>0</v>
      </c>
      <c r="U131" s="11"/>
      <c r="V131" s="10"/>
      <c r="W131" s="10"/>
      <c r="X131" s="10"/>
      <c r="Y131" s="13" t="n">
        <f aca="false">IFERROR(ROUND(IF(H131&gt;=10,30,IF(H131&gt;=5,20,IF(H131&gt;=2,10,0)))+IF(K131="Yes",20,IF(K131="Unsure",10,0))+IF(U131="Yes",30,IF(U131="Later",15,0))+IFERROR(T131/100*20,0),0),"")</f>
        <v>0</v>
      </c>
      <c r="Z131" s="11" t="str">
        <f aca="false">IFERROR(IF(Y131&gt;=80,"🔥 HOT",IF(Y131&gt;=60,"✅ STRONG",IF(Y131&gt;=40,"⚡ WARM",IF(Y131&gt;=20,"📋 NURTURE",IF(Y131&gt;0,"❌ COLD",""))))),"")</f>
        <v/>
      </c>
      <c r="AA131" s="11" t="str">
        <f aca="false">IFERROR(IF(AND(Y131&gt;=60,OR(U131="Yes",U131="Later")),"🚨 URGENT",IF(AND(Y131&gt;=40,I131="Call Back"),"📞 CALL BACK",IF(I131="Booked Meeting","📅 BOOKED",IF(I131="Not Interested","🚫 DEAD","⏳ WORKING")))),"")</f>
        <v>⏳ WORKING</v>
      </c>
      <c r="AB131" s="14"/>
      <c r="AC131" s="15"/>
      <c r="AD131" s="16" t="str">
        <f aca="true">IFERROR(IF(AC131="","",AC131-TODAY()),"")</f>
        <v/>
      </c>
      <c r="AE131" s="10"/>
    </row>
    <row r="132" customFormat="false" ht="19.5" hidden="false" customHeight="true" outlineLevel="0" collapsed="false">
      <c r="A132" s="17"/>
      <c r="B132" s="17"/>
      <c r="C132" s="17"/>
      <c r="D132" s="17"/>
      <c r="E132" s="17"/>
      <c r="F132" s="17"/>
      <c r="G132" s="17"/>
      <c r="H132" s="18"/>
      <c r="I132" s="17"/>
      <c r="J132" s="17"/>
      <c r="K132" s="18"/>
      <c r="L132" s="17"/>
      <c r="M132" s="17"/>
      <c r="N132" s="17"/>
      <c r="O132" s="17"/>
      <c r="P132" s="17"/>
      <c r="Q132" s="17"/>
      <c r="R132" s="17"/>
      <c r="S132" s="17"/>
      <c r="T132" s="19" t="n">
        <f aca="false">IFERROR(ROUND((IF(O132="Severe",4,IF(O132="Moderate",3,IF(O132="Minor",2,0)))+IF(P132="Severe",4,IF(P132="Moderate",3,IF(P132="Minor",2,0)))+IF(Q132="Severe",4,IF(Q132="Moderate",3,IF(Q132="Minor",2,0)))+IF(R132="Severe",4,IF(R132="Moderate",3,IF(R132="Minor",2,0))))/16*100,0),"")</f>
        <v>0</v>
      </c>
      <c r="U132" s="18"/>
      <c r="V132" s="17"/>
      <c r="W132" s="17"/>
      <c r="X132" s="17"/>
      <c r="Y132" s="20" t="n">
        <f aca="false">IFERROR(ROUND(IF(H132&gt;=10,30,IF(H132&gt;=5,20,IF(H132&gt;=2,10,0)))+IF(K132="Yes",20,IF(K132="Unsure",10,0))+IF(U132="Yes",30,IF(U132="Later",15,0))+IFERROR(T132/100*20,0),0),"")</f>
        <v>0</v>
      </c>
      <c r="Z132" s="18" t="str">
        <f aca="false">IFERROR(IF(Y132&gt;=80,"🔥 HOT",IF(Y132&gt;=60,"✅ STRONG",IF(Y132&gt;=40,"⚡ WARM",IF(Y132&gt;=20,"📋 NURTURE",IF(Y132&gt;0,"❌ COLD",""))))),"")</f>
        <v/>
      </c>
      <c r="AA132" s="18" t="str">
        <f aca="false">IFERROR(IF(AND(Y132&gt;=60,OR(U132="Yes",U132="Later")),"🚨 URGENT",IF(AND(Y132&gt;=40,I132="Call Back"),"📞 CALL BACK",IF(I132="Booked Meeting","📅 BOOKED",IF(I132="Not Interested","🚫 DEAD","⏳ WORKING")))),"")</f>
        <v>⏳ WORKING</v>
      </c>
      <c r="AB132" s="21"/>
      <c r="AC132" s="22"/>
      <c r="AD132" s="23" t="str">
        <f aca="true">IFERROR(IF(AC132="","",AC132-TODAY()),"")</f>
        <v/>
      </c>
      <c r="AE132" s="17"/>
    </row>
    <row r="133" customFormat="false" ht="19.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1"/>
      <c r="I133" s="10"/>
      <c r="J133" s="10"/>
      <c r="K133" s="11"/>
      <c r="L133" s="10"/>
      <c r="M133" s="10"/>
      <c r="N133" s="10"/>
      <c r="O133" s="10"/>
      <c r="P133" s="10"/>
      <c r="Q133" s="10"/>
      <c r="R133" s="10"/>
      <c r="S133" s="10"/>
      <c r="T133" s="12" t="n">
        <f aca="false">IFERROR(ROUND((IF(O133="Severe",4,IF(O133="Moderate",3,IF(O133="Minor",2,0)))+IF(P133="Severe",4,IF(P133="Moderate",3,IF(P133="Minor",2,0)))+IF(Q133="Severe",4,IF(Q133="Moderate",3,IF(Q133="Minor",2,0)))+IF(R133="Severe",4,IF(R133="Moderate",3,IF(R133="Minor",2,0))))/16*100,0),"")</f>
        <v>0</v>
      </c>
      <c r="U133" s="11"/>
      <c r="V133" s="10"/>
      <c r="W133" s="10"/>
      <c r="X133" s="10"/>
      <c r="Y133" s="13" t="n">
        <f aca="false">IFERROR(ROUND(IF(H133&gt;=10,30,IF(H133&gt;=5,20,IF(H133&gt;=2,10,0)))+IF(K133="Yes",20,IF(K133="Unsure",10,0))+IF(U133="Yes",30,IF(U133="Later",15,0))+IFERROR(T133/100*20,0),0),"")</f>
        <v>0</v>
      </c>
      <c r="Z133" s="11" t="str">
        <f aca="false">IFERROR(IF(Y133&gt;=80,"🔥 HOT",IF(Y133&gt;=60,"✅ STRONG",IF(Y133&gt;=40,"⚡ WARM",IF(Y133&gt;=20,"📋 NURTURE",IF(Y133&gt;0,"❌ COLD",""))))),"")</f>
        <v/>
      </c>
      <c r="AA133" s="11" t="str">
        <f aca="false">IFERROR(IF(AND(Y133&gt;=60,OR(U133="Yes",U133="Later")),"🚨 URGENT",IF(AND(Y133&gt;=40,I133="Call Back"),"📞 CALL BACK",IF(I133="Booked Meeting","📅 BOOKED",IF(I133="Not Interested","🚫 DEAD","⏳ WORKING")))),"")</f>
        <v>⏳ WORKING</v>
      </c>
      <c r="AB133" s="14"/>
      <c r="AC133" s="15"/>
      <c r="AD133" s="16" t="str">
        <f aca="true">IFERROR(IF(AC133="","",AC133-TODAY()),"")</f>
        <v/>
      </c>
      <c r="AE133" s="10"/>
    </row>
    <row r="134" customFormat="false" ht="19.5" hidden="false" customHeight="true" outlineLevel="0" collapsed="false">
      <c r="A134" s="17"/>
      <c r="B134" s="17"/>
      <c r="C134" s="17"/>
      <c r="D134" s="17"/>
      <c r="E134" s="17"/>
      <c r="F134" s="17"/>
      <c r="G134" s="17"/>
      <c r="H134" s="18"/>
      <c r="I134" s="17"/>
      <c r="J134" s="17"/>
      <c r="K134" s="18"/>
      <c r="L134" s="17"/>
      <c r="M134" s="17"/>
      <c r="N134" s="17"/>
      <c r="O134" s="17"/>
      <c r="P134" s="17"/>
      <c r="Q134" s="17"/>
      <c r="R134" s="17"/>
      <c r="S134" s="17"/>
      <c r="T134" s="19" t="n">
        <f aca="false">IFERROR(ROUND((IF(O134="Severe",4,IF(O134="Moderate",3,IF(O134="Minor",2,0)))+IF(P134="Severe",4,IF(P134="Moderate",3,IF(P134="Minor",2,0)))+IF(Q134="Severe",4,IF(Q134="Moderate",3,IF(Q134="Minor",2,0)))+IF(R134="Severe",4,IF(R134="Moderate",3,IF(R134="Minor",2,0))))/16*100,0),"")</f>
        <v>0</v>
      </c>
      <c r="U134" s="18"/>
      <c r="V134" s="17"/>
      <c r="W134" s="17"/>
      <c r="X134" s="17"/>
      <c r="Y134" s="20" t="n">
        <f aca="false">IFERROR(ROUND(IF(H134&gt;=10,30,IF(H134&gt;=5,20,IF(H134&gt;=2,10,0)))+IF(K134="Yes",20,IF(K134="Unsure",10,0))+IF(U134="Yes",30,IF(U134="Later",15,0))+IFERROR(T134/100*20,0),0),"")</f>
        <v>0</v>
      </c>
      <c r="Z134" s="18" t="str">
        <f aca="false">IFERROR(IF(Y134&gt;=80,"🔥 HOT",IF(Y134&gt;=60,"✅ STRONG",IF(Y134&gt;=40,"⚡ WARM",IF(Y134&gt;=20,"📋 NURTURE",IF(Y134&gt;0,"❌ COLD",""))))),"")</f>
        <v/>
      </c>
      <c r="AA134" s="18" t="str">
        <f aca="false">IFERROR(IF(AND(Y134&gt;=60,OR(U134="Yes",U134="Later")),"🚨 URGENT",IF(AND(Y134&gt;=40,I134="Call Back"),"📞 CALL BACK",IF(I134="Booked Meeting","📅 BOOKED",IF(I134="Not Interested","🚫 DEAD","⏳ WORKING")))),"")</f>
        <v>⏳ WORKING</v>
      </c>
      <c r="AB134" s="21"/>
      <c r="AC134" s="22"/>
      <c r="AD134" s="23" t="str">
        <f aca="true">IFERROR(IF(AC134="","",AC134-TODAY()),"")</f>
        <v/>
      </c>
      <c r="AE134" s="17"/>
    </row>
    <row r="135" customFormat="false" ht="19.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1"/>
      <c r="I135" s="10"/>
      <c r="J135" s="10"/>
      <c r="K135" s="11"/>
      <c r="L135" s="10"/>
      <c r="M135" s="10"/>
      <c r="N135" s="10"/>
      <c r="O135" s="10"/>
      <c r="P135" s="10"/>
      <c r="Q135" s="10"/>
      <c r="R135" s="10"/>
      <c r="S135" s="10"/>
      <c r="T135" s="12" t="n">
        <f aca="false">IFERROR(ROUND((IF(O135="Severe",4,IF(O135="Moderate",3,IF(O135="Minor",2,0)))+IF(P135="Severe",4,IF(P135="Moderate",3,IF(P135="Minor",2,0)))+IF(Q135="Severe",4,IF(Q135="Moderate",3,IF(Q135="Minor",2,0)))+IF(R135="Severe",4,IF(R135="Moderate",3,IF(R135="Minor",2,0))))/16*100,0),"")</f>
        <v>0</v>
      </c>
      <c r="U135" s="11"/>
      <c r="V135" s="10"/>
      <c r="W135" s="10"/>
      <c r="X135" s="10"/>
      <c r="Y135" s="13" t="n">
        <f aca="false">IFERROR(ROUND(IF(H135&gt;=10,30,IF(H135&gt;=5,20,IF(H135&gt;=2,10,0)))+IF(K135="Yes",20,IF(K135="Unsure",10,0))+IF(U135="Yes",30,IF(U135="Later",15,0))+IFERROR(T135/100*20,0),0),"")</f>
        <v>0</v>
      </c>
      <c r="Z135" s="11" t="str">
        <f aca="false">IFERROR(IF(Y135&gt;=80,"🔥 HOT",IF(Y135&gt;=60,"✅ STRONG",IF(Y135&gt;=40,"⚡ WARM",IF(Y135&gt;=20,"📋 NURTURE",IF(Y135&gt;0,"❌ COLD",""))))),"")</f>
        <v/>
      </c>
      <c r="AA135" s="11" t="str">
        <f aca="false">IFERROR(IF(AND(Y135&gt;=60,OR(U135="Yes",U135="Later")),"🚨 URGENT",IF(AND(Y135&gt;=40,I135="Call Back"),"📞 CALL BACK",IF(I135="Booked Meeting","📅 BOOKED",IF(I135="Not Interested","🚫 DEAD","⏳ WORKING")))),"")</f>
        <v>⏳ WORKING</v>
      </c>
      <c r="AB135" s="14"/>
      <c r="AC135" s="15"/>
      <c r="AD135" s="16" t="str">
        <f aca="true">IFERROR(IF(AC135="","",AC135-TODAY()),"")</f>
        <v/>
      </c>
      <c r="AE135" s="10"/>
    </row>
    <row r="136" customFormat="false" ht="19.5" hidden="false" customHeight="true" outlineLevel="0" collapsed="false">
      <c r="A136" s="17"/>
      <c r="B136" s="17"/>
      <c r="C136" s="17"/>
      <c r="D136" s="17"/>
      <c r="E136" s="17"/>
      <c r="F136" s="17"/>
      <c r="G136" s="17"/>
      <c r="H136" s="18"/>
      <c r="I136" s="17"/>
      <c r="J136" s="17"/>
      <c r="K136" s="18"/>
      <c r="L136" s="17"/>
      <c r="M136" s="17"/>
      <c r="N136" s="17"/>
      <c r="O136" s="17"/>
      <c r="P136" s="17"/>
      <c r="Q136" s="17"/>
      <c r="R136" s="17"/>
      <c r="S136" s="17"/>
      <c r="T136" s="19" t="n">
        <f aca="false">IFERROR(ROUND((IF(O136="Severe",4,IF(O136="Moderate",3,IF(O136="Minor",2,0)))+IF(P136="Severe",4,IF(P136="Moderate",3,IF(P136="Minor",2,0)))+IF(Q136="Severe",4,IF(Q136="Moderate",3,IF(Q136="Minor",2,0)))+IF(R136="Severe",4,IF(R136="Moderate",3,IF(R136="Minor",2,0))))/16*100,0),"")</f>
        <v>0</v>
      </c>
      <c r="U136" s="18"/>
      <c r="V136" s="17"/>
      <c r="W136" s="17"/>
      <c r="X136" s="17"/>
      <c r="Y136" s="20" t="n">
        <f aca="false">IFERROR(ROUND(IF(H136&gt;=10,30,IF(H136&gt;=5,20,IF(H136&gt;=2,10,0)))+IF(K136="Yes",20,IF(K136="Unsure",10,0))+IF(U136="Yes",30,IF(U136="Later",15,0))+IFERROR(T136/100*20,0),0),"")</f>
        <v>0</v>
      </c>
      <c r="Z136" s="18" t="str">
        <f aca="false">IFERROR(IF(Y136&gt;=80,"🔥 HOT",IF(Y136&gt;=60,"✅ STRONG",IF(Y136&gt;=40,"⚡ WARM",IF(Y136&gt;=20,"📋 NURTURE",IF(Y136&gt;0,"❌ COLD",""))))),"")</f>
        <v/>
      </c>
      <c r="AA136" s="18" t="str">
        <f aca="false">IFERROR(IF(AND(Y136&gt;=60,OR(U136="Yes",U136="Later")),"🚨 URGENT",IF(AND(Y136&gt;=40,I136="Call Back"),"📞 CALL BACK",IF(I136="Booked Meeting","📅 BOOKED",IF(I136="Not Interested","🚫 DEAD","⏳ WORKING")))),"")</f>
        <v>⏳ WORKING</v>
      </c>
      <c r="AB136" s="21"/>
      <c r="AC136" s="22"/>
      <c r="AD136" s="23" t="str">
        <f aca="true">IFERROR(IF(AC136="","",AC136-TODAY()),"")</f>
        <v/>
      </c>
      <c r="AE136" s="17"/>
    </row>
    <row r="137" customFormat="false" ht="19.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1"/>
      <c r="I137" s="10"/>
      <c r="J137" s="10"/>
      <c r="K137" s="11"/>
      <c r="L137" s="10"/>
      <c r="M137" s="10"/>
      <c r="N137" s="10"/>
      <c r="O137" s="10"/>
      <c r="P137" s="10"/>
      <c r="Q137" s="10"/>
      <c r="R137" s="10"/>
      <c r="S137" s="10"/>
      <c r="T137" s="12" t="n">
        <f aca="false">IFERROR(ROUND((IF(O137="Severe",4,IF(O137="Moderate",3,IF(O137="Minor",2,0)))+IF(P137="Severe",4,IF(P137="Moderate",3,IF(P137="Minor",2,0)))+IF(Q137="Severe",4,IF(Q137="Moderate",3,IF(Q137="Minor",2,0)))+IF(R137="Severe",4,IF(R137="Moderate",3,IF(R137="Minor",2,0))))/16*100,0),"")</f>
        <v>0</v>
      </c>
      <c r="U137" s="11"/>
      <c r="V137" s="10"/>
      <c r="W137" s="10"/>
      <c r="X137" s="10"/>
      <c r="Y137" s="13" t="n">
        <f aca="false">IFERROR(ROUND(IF(H137&gt;=10,30,IF(H137&gt;=5,20,IF(H137&gt;=2,10,0)))+IF(K137="Yes",20,IF(K137="Unsure",10,0))+IF(U137="Yes",30,IF(U137="Later",15,0))+IFERROR(T137/100*20,0),0),"")</f>
        <v>0</v>
      </c>
      <c r="Z137" s="11" t="str">
        <f aca="false">IFERROR(IF(Y137&gt;=80,"🔥 HOT",IF(Y137&gt;=60,"✅ STRONG",IF(Y137&gt;=40,"⚡ WARM",IF(Y137&gt;=20,"📋 NURTURE",IF(Y137&gt;0,"❌ COLD",""))))),"")</f>
        <v/>
      </c>
      <c r="AA137" s="11" t="str">
        <f aca="false">IFERROR(IF(AND(Y137&gt;=60,OR(U137="Yes",U137="Later")),"🚨 URGENT",IF(AND(Y137&gt;=40,I137="Call Back"),"📞 CALL BACK",IF(I137="Booked Meeting","📅 BOOKED",IF(I137="Not Interested","🚫 DEAD","⏳ WORKING")))),"")</f>
        <v>⏳ WORKING</v>
      </c>
      <c r="AB137" s="14"/>
      <c r="AC137" s="15"/>
      <c r="AD137" s="16" t="str">
        <f aca="true">IFERROR(IF(AC137="","",AC137-TODAY()),"")</f>
        <v/>
      </c>
      <c r="AE137" s="10"/>
    </row>
    <row r="138" customFormat="false" ht="19.5" hidden="false" customHeight="true" outlineLevel="0" collapsed="false">
      <c r="A138" s="17"/>
      <c r="B138" s="17"/>
      <c r="C138" s="17"/>
      <c r="D138" s="17"/>
      <c r="E138" s="17"/>
      <c r="F138" s="17"/>
      <c r="G138" s="17"/>
      <c r="H138" s="18"/>
      <c r="I138" s="17"/>
      <c r="J138" s="17"/>
      <c r="K138" s="18"/>
      <c r="L138" s="17"/>
      <c r="M138" s="17"/>
      <c r="N138" s="17"/>
      <c r="O138" s="17"/>
      <c r="P138" s="17"/>
      <c r="Q138" s="17"/>
      <c r="R138" s="17"/>
      <c r="S138" s="17"/>
      <c r="T138" s="19" t="n">
        <f aca="false">IFERROR(ROUND((IF(O138="Severe",4,IF(O138="Moderate",3,IF(O138="Minor",2,0)))+IF(P138="Severe",4,IF(P138="Moderate",3,IF(P138="Minor",2,0)))+IF(Q138="Severe",4,IF(Q138="Moderate",3,IF(Q138="Minor",2,0)))+IF(R138="Severe",4,IF(R138="Moderate",3,IF(R138="Minor",2,0))))/16*100,0),"")</f>
        <v>0</v>
      </c>
      <c r="U138" s="18"/>
      <c r="V138" s="17"/>
      <c r="W138" s="17"/>
      <c r="X138" s="17"/>
      <c r="Y138" s="20" t="n">
        <f aca="false">IFERROR(ROUND(IF(H138&gt;=10,30,IF(H138&gt;=5,20,IF(H138&gt;=2,10,0)))+IF(K138="Yes",20,IF(K138="Unsure",10,0))+IF(U138="Yes",30,IF(U138="Later",15,0))+IFERROR(T138/100*20,0),0),"")</f>
        <v>0</v>
      </c>
      <c r="Z138" s="18" t="str">
        <f aca="false">IFERROR(IF(Y138&gt;=80,"🔥 HOT",IF(Y138&gt;=60,"✅ STRONG",IF(Y138&gt;=40,"⚡ WARM",IF(Y138&gt;=20,"📋 NURTURE",IF(Y138&gt;0,"❌ COLD",""))))),"")</f>
        <v/>
      </c>
      <c r="AA138" s="18" t="str">
        <f aca="false">IFERROR(IF(AND(Y138&gt;=60,OR(U138="Yes",U138="Later")),"🚨 URGENT",IF(AND(Y138&gt;=40,I138="Call Back"),"📞 CALL BACK",IF(I138="Booked Meeting","📅 BOOKED",IF(I138="Not Interested","🚫 DEAD","⏳ WORKING")))),"")</f>
        <v>⏳ WORKING</v>
      </c>
      <c r="AB138" s="21"/>
      <c r="AC138" s="22"/>
      <c r="AD138" s="23" t="str">
        <f aca="true">IFERROR(IF(AC138="","",AC138-TODAY()),"")</f>
        <v/>
      </c>
      <c r="AE138" s="17"/>
    </row>
    <row r="139" customFormat="false" ht="19.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1"/>
      <c r="I139" s="10"/>
      <c r="J139" s="10"/>
      <c r="K139" s="11"/>
      <c r="L139" s="10"/>
      <c r="M139" s="10"/>
      <c r="N139" s="10"/>
      <c r="O139" s="10"/>
      <c r="P139" s="10"/>
      <c r="Q139" s="10"/>
      <c r="R139" s="10"/>
      <c r="S139" s="10"/>
      <c r="T139" s="12" t="n">
        <f aca="false">IFERROR(ROUND((IF(O139="Severe",4,IF(O139="Moderate",3,IF(O139="Minor",2,0)))+IF(P139="Severe",4,IF(P139="Moderate",3,IF(P139="Minor",2,0)))+IF(Q139="Severe",4,IF(Q139="Moderate",3,IF(Q139="Minor",2,0)))+IF(R139="Severe",4,IF(R139="Moderate",3,IF(R139="Minor",2,0))))/16*100,0),"")</f>
        <v>0</v>
      </c>
      <c r="U139" s="11"/>
      <c r="V139" s="10"/>
      <c r="W139" s="10"/>
      <c r="X139" s="10"/>
      <c r="Y139" s="13" t="n">
        <f aca="false">IFERROR(ROUND(IF(H139&gt;=10,30,IF(H139&gt;=5,20,IF(H139&gt;=2,10,0)))+IF(K139="Yes",20,IF(K139="Unsure",10,0))+IF(U139="Yes",30,IF(U139="Later",15,0))+IFERROR(T139/100*20,0),0),"")</f>
        <v>0</v>
      </c>
      <c r="Z139" s="11" t="str">
        <f aca="false">IFERROR(IF(Y139&gt;=80,"🔥 HOT",IF(Y139&gt;=60,"✅ STRONG",IF(Y139&gt;=40,"⚡ WARM",IF(Y139&gt;=20,"📋 NURTURE",IF(Y139&gt;0,"❌ COLD",""))))),"")</f>
        <v/>
      </c>
      <c r="AA139" s="11" t="str">
        <f aca="false">IFERROR(IF(AND(Y139&gt;=60,OR(U139="Yes",U139="Later")),"🚨 URGENT",IF(AND(Y139&gt;=40,I139="Call Back"),"📞 CALL BACK",IF(I139="Booked Meeting","📅 BOOKED",IF(I139="Not Interested","🚫 DEAD","⏳ WORKING")))),"")</f>
        <v>⏳ WORKING</v>
      </c>
      <c r="AB139" s="14"/>
      <c r="AC139" s="15"/>
      <c r="AD139" s="16" t="str">
        <f aca="true">IFERROR(IF(AC139="","",AC139-TODAY()),"")</f>
        <v/>
      </c>
      <c r="AE139" s="10"/>
    </row>
    <row r="140" customFormat="false" ht="19.5" hidden="false" customHeight="true" outlineLevel="0" collapsed="false">
      <c r="A140" s="17"/>
      <c r="B140" s="17"/>
      <c r="C140" s="17"/>
      <c r="D140" s="17"/>
      <c r="E140" s="17"/>
      <c r="F140" s="17"/>
      <c r="G140" s="17"/>
      <c r="H140" s="18"/>
      <c r="I140" s="17"/>
      <c r="J140" s="17"/>
      <c r="K140" s="18"/>
      <c r="L140" s="17"/>
      <c r="M140" s="17"/>
      <c r="N140" s="17"/>
      <c r="O140" s="17"/>
      <c r="P140" s="17"/>
      <c r="Q140" s="17"/>
      <c r="R140" s="17"/>
      <c r="S140" s="17"/>
      <c r="T140" s="19" t="n">
        <f aca="false">IFERROR(ROUND((IF(O140="Severe",4,IF(O140="Moderate",3,IF(O140="Minor",2,0)))+IF(P140="Severe",4,IF(P140="Moderate",3,IF(P140="Minor",2,0)))+IF(Q140="Severe",4,IF(Q140="Moderate",3,IF(Q140="Minor",2,0)))+IF(R140="Severe",4,IF(R140="Moderate",3,IF(R140="Minor",2,0))))/16*100,0),"")</f>
        <v>0</v>
      </c>
      <c r="U140" s="18"/>
      <c r="V140" s="17"/>
      <c r="W140" s="17"/>
      <c r="X140" s="17"/>
      <c r="Y140" s="20" t="n">
        <f aca="false">IFERROR(ROUND(IF(H140&gt;=10,30,IF(H140&gt;=5,20,IF(H140&gt;=2,10,0)))+IF(K140="Yes",20,IF(K140="Unsure",10,0))+IF(U140="Yes",30,IF(U140="Later",15,0))+IFERROR(T140/100*20,0),0),"")</f>
        <v>0</v>
      </c>
      <c r="Z140" s="18" t="str">
        <f aca="false">IFERROR(IF(Y140&gt;=80,"🔥 HOT",IF(Y140&gt;=60,"✅ STRONG",IF(Y140&gt;=40,"⚡ WARM",IF(Y140&gt;=20,"📋 NURTURE",IF(Y140&gt;0,"❌ COLD",""))))),"")</f>
        <v/>
      </c>
      <c r="AA140" s="18" t="str">
        <f aca="false">IFERROR(IF(AND(Y140&gt;=60,OR(U140="Yes",U140="Later")),"🚨 URGENT",IF(AND(Y140&gt;=40,I140="Call Back"),"📞 CALL BACK",IF(I140="Booked Meeting","📅 BOOKED",IF(I140="Not Interested","🚫 DEAD","⏳ WORKING")))),"")</f>
        <v>⏳ WORKING</v>
      </c>
      <c r="AB140" s="21"/>
      <c r="AC140" s="22"/>
      <c r="AD140" s="23" t="str">
        <f aca="true">IFERROR(IF(AC140="","",AC140-TODAY()),"")</f>
        <v/>
      </c>
      <c r="AE140" s="17"/>
    </row>
    <row r="141" customFormat="false" ht="19.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1"/>
      <c r="I141" s="10"/>
      <c r="J141" s="10"/>
      <c r="K141" s="11"/>
      <c r="L141" s="10"/>
      <c r="M141" s="10"/>
      <c r="N141" s="10"/>
      <c r="O141" s="10"/>
      <c r="P141" s="10"/>
      <c r="Q141" s="10"/>
      <c r="R141" s="10"/>
      <c r="S141" s="10"/>
      <c r="T141" s="12" t="n">
        <f aca="false">IFERROR(ROUND((IF(O141="Severe",4,IF(O141="Moderate",3,IF(O141="Minor",2,0)))+IF(P141="Severe",4,IF(P141="Moderate",3,IF(P141="Minor",2,0)))+IF(Q141="Severe",4,IF(Q141="Moderate",3,IF(Q141="Minor",2,0)))+IF(R141="Severe",4,IF(R141="Moderate",3,IF(R141="Minor",2,0))))/16*100,0),"")</f>
        <v>0</v>
      </c>
      <c r="U141" s="11"/>
      <c r="V141" s="10"/>
      <c r="W141" s="10"/>
      <c r="X141" s="10"/>
      <c r="Y141" s="13" t="n">
        <f aca="false">IFERROR(ROUND(IF(H141&gt;=10,30,IF(H141&gt;=5,20,IF(H141&gt;=2,10,0)))+IF(K141="Yes",20,IF(K141="Unsure",10,0))+IF(U141="Yes",30,IF(U141="Later",15,0))+IFERROR(T141/100*20,0),0),"")</f>
        <v>0</v>
      </c>
      <c r="Z141" s="11" t="str">
        <f aca="false">IFERROR(IF(Y141&gt;=80,"🔥 HOT",IF(Y141&gt;=60,"✅ STRONG",IF(Y141&gt;=40,"⚡ WARM",IF(Y141&gt;=20,"📋 NURTURE",IF(Y141&gt;0,"❌ COLD",""))))),"")</f>
        <v/>
      </c>
      <c r="AA141" s="11" t="str">
        <f aca="false">IFERROR(IF(AND(Y141&gt;=60,OR(U141="Yes",U141="Later")),"🚨 URGENT",IF(AND(Y141&gt;=40,I141="Call Back"),"📞 CALL BACK",IF(I141="Booked Meeting","📅 BOOKED",IF(I141="Not Interested","🚫 DEAD","⏳ WORKING")))),"")</f>
        <v>⏳ WORKING</v>
      </c>
      <c r="AB141" s="14"/>
      <c r="AC141" s="15"/>
      <c r="AD141" s="16" t="str">
        <f aca="true">IFERROR(IF(AC141="","",AC141-TODAY()),"")</f>
        <v/>
      </c>
      <c r="AE141" s="10"/>
    </row>
    <row r="142" customFormat="false" ht="19.5" hidden="false" customHeight="true" outlineLevel="0" collapsed="false">
      <c r="A142" s="17"/>
      <c r="B142" s="17"/>
      <c r="C142" s="17"/>
      <c r="D142" s="17"/>
      <c r="E142" s="17"/>
      <c r="F142" s="17"/>
      <c r="G142" s="17"/>
      <c r="H142" s="18"/>
      <c r="I142" s="17"/>
      <c r="J142" s="17"/>
      <c r="K142" s="18"/>
      <c r="L142" s="17"/>
      <c r="M142" s="17"/>
      <c r="N142" s="17"/>
      <c r="O142" s="17"/>
      <c r="P142" s="17"/>
      <c r="Q142" s="17"/>
      <c r="R142" s="17"/>
      <c r="S142" s="17"/>
      <c r="T142" s="19" t="n">
        <f aca="false">IFERROR(ROUND((IF(O142="Severe",4,IF(O142="Moderate",3,IF(O142="Minor",2,0)))+IF(P142="Severe",4,IF(P142="Moderate",3,IF(P142="Minor",2,0)))+IF(Q142="Severe",4,IF(Q142="Moderate",3,IF(Q142="Minor",2,0)))+IF(R142="Severe",4,IF(R142="Moderate",3,IF(R142="Minor",2,0))))/16*100,0),"")</f>
        <v>0</v>
      </c>
      <c r="U142" s="18"/>
      <c r="V142" s="17"/>
      <c r="W142" s="17"/>
      <c r="X142" s="17"/>
      <c r="Y142" s="20" t="n">
        <f aca="false">IFERROR(ROUND(IF(H142&gt;=10,30,IF(H142&gt;=5,20,IF(H142&gt;=2,10,0)))+IF(K142="Yes",20,IF(K142="Unsure",10,0))+IF(U142="Yes",30,IF(U142="Later",15,0))+IFERROR(T142/100*20,0),0),"")</f>
        <v>0</v>
      </c>
      <c r="Z142" s="18" t="str">
        <f aca="false">IFERROR(IF(Y142&gt;=80,"🔥 HOT",IF(Y142&gt;=60,"✅ STRONG",IF(Y142&gt;=40,"⚡ WARM",IF(Y142&gt;=20,"📋 NURTURE",IF(Y142&gt;0,"❌ COLD",""))))),"")</f>
        <v/>
      </c>
      <c r="AA142" s="18" t="str">
        <f aca="false">IFERROR(IF(AND(Y142&gt;=60,OR(U142="Yes",U142="Later")),"🚨 URGENT",IF(AND(Y142&gt;=40,I142="Call Back"),"📞 CALL BACK",IF(I142="Booked Meeting","📅 BOOKED",IF(I142="Not Interested","🚫 DEAD","⏳ WORKING")))),"")</f>
        <v>⏳ WORKING</v>
      </c>
      <c r="AB142" s="21"/>
      <c r="AC142" s="22"/>
      <c r="AD142" s="23" t="str">
        <f aca="true">IFERROR(IF(AC142="","",AC142-TODAY()),"")</f>
        <v/>
      </c>
      <c r="AE142" s="17"/>
    </row>
    <row r="143" customFormat="false" ht="19.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1"/>
      <c r="I143" s="10"/>
      <c r="J143" s="10"/>
      <c r="K143" s="11"/>
      <c r="L143" s="10"/>
      <c r="M143" s="10"/>
      <c r="N143" s="10"/>
      <c r="O143" s="10"/>
      <c r="P143" s="10"/>
      <c r="Q143" s="10"/>
      <c r="R143" s="10"/>
      <c r="S143" s="10"/>
      <c r="T143" s="12" t="n">
        <f aca="false">IFERROR(ROUND((IF(O143="Severe",4,IF(O143="Moderate",3,IF(O143="Minor",2,0)))+IF(P143="Severe",4,IF(P143="Moderate",3,IF(P143="Minor",2,0)))+IF(Q143="Severe",4,IF(Q143="Moderate",3,IF(Q143="Minor",2,0)))+IF(R143="Severe",4,IF(R143="Moderate",3,IF(R143="Minor",2,0))))/16*100,0),"")</f>
        <v>0</v>
      </c>
      <c r="U143" s="11"/>
      <c r="V143" s="10"/>
      <c r="W143" s="10"/>
      <c r="X143" s="10"/>
      <c r="Y143" s="13" t="n">
        <f aca="false">IFERROR(ROUND(IF(H143&gt;=10,30,IF(H143&gt;=5,20,IF(H143&gt;=2,10,0)))+IF(K143="Yes",20,IF(K143="Unsure",10,0))+IF(U143="Yes",30,IF(U143="Later",15,0))+IFERROR(T143/100*20,0),0),"")</f>
        <v>0</v>
      </c>
      <c r="Z143" s="11" t="str">
        <f aca="false">IFERROR(IF(Y143&gt;=80,"🔥 HOT",IF(Y143&gt;=60,"✅ STRONG",IF(Y143&gt;=40,"⚡ WARM",IF(Y143&gt;=20,"📋 NURTURE",IF(Y143&gt;0,"❌ COLD",""))))),"")</f>
        <v/>
      </c>
      <c r="AA143" s="11" t="str">
        <f aca="false">IFERROR(IF(AND(Y143&gt;=60,OR(U143="Yes",U143="Later")),"🚨 URGENT",IF(AND(Y143&gt;=40,I143="Call Back"),"📞 CALL BACK",IF(I143="Booked Meeting","📅 BOOKED",IF(I143="Not Interested","🚫 DEAD","⏳ WORKING")))),"")</f>
        <v>⏳ WORKING</v>
      </c>
      <c r="AB143" s="14"/>
      <c r="AC143" s="15"/>
      <c r="AD143" s="16" t="str">
        <f aca="true">IFERROR(IF(AC143="","",AC143-TODAY()),"")</f>
        <v/>
      </c>
      <c r="AE143" s="10"/>
    </row>
    <row r="144" customFormat="false" ht="19.5" hidden="false" customHeight="true" outlineLevel="0" collapsed="false">
      <c r="A144" s="17"/>
      <c r="B144" s="17"/>
      <c r="C144" s="17"/>
      <c r="D144" s="17"/>
      <c r="E144" s="17"/>
      <c r="F144" s="17"/>
      <c r="G144" s="17"/>
      <c r="H144" s="18"/>
      <c r="I144" s="17"/>
      <c r="J144" s="17"/>
      <c r="K144" s="18"/>
      <c r="L144" s="17"/>
      <c r="M144" s="17"/>
      <c r="N144" s="17"/>
      <c r="O144" s="17"/>
      <c r="P144" s="17"/>
      <c r="Q144" s="17"/>
      <c r="R144" s="17"/>
      <c r="S144" s="17"/>
      <c r="T144" s="19" t="n">
        <f aca="false">IFERROR(ROUND((IF(O144="Severe",4,IF(O144="Moderate",3,IF(O144="Minor",2,0)))+IF(P144="Severe",4,IF(P144="Moderate",3,IF(P144="Minor",2,0)))+IF(Q144="Severe",4,IF(Q144="Moderate",3,IF(Q144="Minor",2,0)))+IF(R144="Severe",4,IF(R144="Moderate",3,IF(R144="Minor",2,0))))/16*100,0),"")</f>
        <v>0</v>
      </c>
      <c r="U144" s="18"/>
      <c r="V144" s="17"/>
      <c r="W144" s="17"/>
      <c r="X144" s="17"/>
      <c r="Y144" s="20" t="n">
        <f aca="false">IFERROR(ROUND(IF(H144&gt;=10,30,IF(H144&gt;=5,20,IF(H144&gt;=2,10,0)))+IF(K144="Yes",20,IF(K144="Unsure",10,0))+IF(U144="Yes",30,IF(U144="Later",15,0))+IFERROR(T144/100*20,0),0),"")</f>
        <v>0</v>
      </c>
      <c r="Z144" s="18" t="str">
        <f aca="false">IFERROR(IF(Y144&gt;=80,"🔥 HOT",IF(Y144&gt;=60,"✅ STRONG",IF(Y144&gt;=40,"⚡ WARM",IF(Y144&gt;=20,"📋 NURTURE",IF(Y144&gt;0,"❌ COLD",""))))),"")</f>
        <v/>
      </c>
      <c r="AA144" s="18" t="str">
        <f aca="false">IFERROR(IF(AND(Y144&gt;=60,OR(U144="Yes",U144="Later")),"🚨 URGENT",IF(AND(Y144&gt;=40,I144="Call Back"),"📞 CALL BACK",IF(I144="Booked Meeting","📅 BOOKED",IF(I144="Not Interested","🚫 DEAD","⏳ WORKING")))),"")</f>
        <v>⏳ WORKING</v>
      </c>
      <c r="AB144" s="21"/>
      <c r="AC144" s="22"/>
      <c r="AD144" s="23" t="str">
        <f aca="true">IFERROR(IF(AC144="","",AC144-TODAY()),"")</f>
        <v/>
      </c>
      <c r="AE144" s="17"/>
    </row>
    <row r="145" customFormat="false" ht="19.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1"/>
      <c r="I145" s="10"/>
      <c r="J145" s="10"/>
      <c r="K145" s="11"/>
      <c r="L145" s="10"/>
      <c r="M145" s="10"/>
      <c r="N145" s="10"/>
      <c r="O145" s="10"/>
      <c r="P145" s="10"/>
      <c r="Q145" s="10"/>
      <c r="R145" s="10"/>
      <c r="S145" s="10"/>
      <c r="T145" s="12" t="n">
        <f aca="false">IFERROR(ROUND((IF(O145="Severe",4,IF(O145="Moderate",3,IF(O145="Minor",2,0)))+IF(P145="Severe",4,IF(P145="Moderate",3,IF(P145="Minor",2,0)))+IF(Q145="Severe",4,IF(Q145="Moderate",3,IF(Q145="Minor",2,0)))+IF(R145="Severe",4,IF(R145="Moderate",3,IF(R145="Minor",2,0))))/16*100,0),"")</f>
        <v>0</v>
      </c>
      <c r="U145" s="11"/>
      <c r="V145" s="10"/>
      <c r="W145" s="10"/>
      <c r="X145" s="10"/>
      <c r="Y145" s="13" t="n">
        <f aca="false">IFERROR(ROUND(IF(H145&gt;=10,30,IF(H145&gt;=5,20,IF(H145&gt;=2,10,0)))+IF(K145="Yes",20,IF(K145="Unsure",10,0))+IF(U145="Yes",30,IF(U145="Later",15,0))+IFERROR(T145/100*20,0),0),"")</f>
        <v>0</v>
      </c>
      <c r="Z145" s="11" t="str">
        <f aca="false">IFERROR(IF(Y145&gt;=80,"🔥 HOT",IF(Y145&gt;=60,"✅ STRONG",IF(Y145&gt;=40,"⚡ WARM",IF(Y145&gt;=20,"📋 NURTURE",IF(Y145&gt;0,"❌ COLD",""))))),"")</f>
        <v/>
      </c>
      <c r="AA145" s="11" t="str">
        <f aca="false">IFERROR(IF(AND(Y145&gt;=60,OR(U145="Yes",U145="Later")),"🚨 URGENT",IF(AND(Y145&gt;=40,I145="Call Back"),"📞 CALL BACK",IF(I145="Booked Meeting","📅 BOOKED",IF(I145="Not Interested","🚫 DEAD","⏳ WORKING")))),"")</f>
        <v>⏳ WORKING</v>
      </c>
      <c r="AB145" s="14"/>
      <c r="AC145" s="15"/>
      <c r="AD145" s="16" t="str">
        <f aca="true">IFERROR(IF(AC145="","",AC145-TODAY()),"")</f>
        <v/>
      </c>
      <c r="AE145" s="10"/>
    </row>
    <row r="146" customFormat="false" ht="19.5" hidden="false" customHeight="true" outlineLevel="0" collapsed="false">
      <c r="A146" s="17"/>
      <c r="B146" s="17"/>
      <c r="C146" s="17"/>
      <c r="D146" s="17"/>
      <c r="E146" s="17"/>
      <c r="F146" s="17"/>
      <c r="G146" s="17"/>
      <c r="H146" s="18"/>
      <c r="I146" s="17"/>
      <c r="J146" s="17"/>
      <c r="K146" s="18"/>
      <c r="L146" s="17"/>
      <c r="M146" s="17"/>
      <c r="N146" s="17"/>
      <c r="O146" s="17"/>
      <c r="P146" s="17"/>
      <c r="Q146" s="17"/>
      <c r="R146" s="17"/>
      <c r="S146" s="17"/>
      <c r="T146" s="19" t="n">
        <f aca="false">IFERROR(ROUND((IF(O146="Severe",4,IF(O146="Moderate",3,IF(O146="Minor",2,0)))+IF(P146="Severe",4,IF(P146="Moderate",3,IF(P146="Minor",2,0)))+IF(Q146="Severe",4,IF(Q146="Moderate",3,IF(Q146="Minor",2,0)))+IF(R146="Severe",4,IF(R146="Moderate",3,IF(R146="Minor",2,0))))/16*100,0),"")</f>
        <v>0</v>
      </c>
      <c r="U146" s="18"/>
      <c r="V146" s="17"/>
      <c r="W146" s="17"/>
      <c r="X146" s="17"/>
      <c r="Y146" s="20" t="n">
        <f aca="false">IFERROR(ROUND(IF(H146&gt;=10,30,IF(H146&gt;=5,20,IF(H146&gt;=2,10,0)))+IF(K146="Yes",20,IF(K146="Unsure",10,0))+IF(U146="Yes",30,IF(U146="Later",15,0))+IFERROR(T146/100*20,0),0),"")</f>
        <v>0</v>
      </c>
      <c r="Z146" s="18" t="str">
        <f aca="false">IFERROR(IF(Y146&gt;=80,"🔥 HOT",IF(Y146&gt;=60,"✅ STRONG",IF(Y146&gt;=40,"⚡ WARM",IF(Y146&gt;=20,"📋 NURTURE",IF(Y146&gt;0,"❌ COLD",""))))),"")</f>
        <v/>
      </c>
      <c r="AA146" s="18" t="str">
        <f aca="false">IFERROR(IF(AND(Y146&gt;=60,OR(U146="Yes",U146="Later")),"🚨 URGENT",IF(AND(Y146&gt;=40,I146="Call Back"),"📞 CALL BACK",IF(I146="Booked Meeting","📅 BOOKED",IF(I146="Not Interested","🚫 DEAD","⏳ WORKING")))),"")</f>
        <v>⏳ WORKING</v>
      </c>
      <c r="AB146" s="21"/>
      <c r="AC146" s="22"/>
      <c r="AD146" s="23" t="str">
        <f aca="true">IFERROR(IF(AC146="","",AC146-TODAY()),"")</f>
        <v/>
      </c>
      <c r="AE146" s="17"/>
    </row>
    <row r="147" customFormat="false" ht="19.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1"/>
      <c r="I147" s="10"/>
      <c r="J147" s="10"/>
      <c r="K147" s="11"/>
      <c r="L147" s="10"/>
      <c r="M147" s="10"/>
      <c r="N147" s="10"/>
      <c r="O147" s="10"/>
      <c r="P147" s="10"/>
      <c r="Q147" s="10"/>
      <c r="R147" s="10"/>
      <c r="S147" s="10"/>
      <c r="T147" s="12" t="n">
        <f aca="false">IFERROR(ROUND((IF(O147="Severe",4,IF(O147="Moderate",3,IF(O147="Minor",2,0)))+IF(P147="Severe",4,IF(P147="Moderate",3,IF(P147="Minor",2,0)))+IF(Q147="Severe",4,IF(Q147="Moderate",3,IF(Q147="Minor",2,0)))+IF(R147="Severe",4,IF(R147="Moderate",3,IF(R147="Minor",2,0))))/16*100,0),"")</f>
        <v>0</v>
      </c>
      <c r="U147" s="11"/>
      <c r="V147" s="10"/>
      <c r="W147" s="10"/>
      <c r="X147" s="10"/>
      <c r="Y147" s="13" t="n">
        <f aca="false">IFERROR(ROUND(IF(H147&gt;=10,30,IF(H147&gt;=5,20,IF(H147&gt;=2,10,0)))+IF(K147="Yes",20,IF(K147="Unsure",10,0))+IF(U147="Yes",30,IF(U147="Later",15,0))+IFERROR(T147/100*20,0),0),"")</f>
        <v>0</v>
      </c>
      <c r="Z147" s="11" t="str">
        <f aca="false">IFERROR(IF(Y147&gt;=80,"🔥 HOT",IF(Y147&gt;=60,"✅ STRONG",IF(Y147&gt;=40,"⚡ WARM",IF(Y147&gt;=20,"📋 NURTURE",IF(Y147&gt;0,"❌ COLD",""))))),"")</f>
        <v/>
      </c>
      <c r="AA147" s="11" t="str">
        <f aca="false">IFERROR(IF(AND(Y147&gt;=60,OR(U147="Yes",U147="Later")),"🚨 URGENT",IF(AND(Y147&gt;=40,I147="Call Back"),"📞 CALL BACK",IF(I147="Booked Meeting","📅 BOOKED",IF(I147="Not Interested","🚫 DEAD","⏳ WORKING")))),"")</f>
        <v>⏳ WORKING</v>
      </c>
      <c r="AB147" s="14"/>
      <c r="AC147" s="15"/>
      <c r="AD147" s="16" t="str">
        <f aca="true">IFERROR(IF(AC147="","",AC147-TODAY()),"")</f>
        <v/>
      </c>
      <c r="AE147" s="10"/>
    </row>
    <row r="148" customFormat="false" ht="19.5" hidden="false" customHeight="true" outlineLevel="0" collapsed="false">
      <c r="A148" s="17"/>
      <c r="B148" s="17"/>
      <c r="C148" s="17"/>
      <c r="D148" s="17"/>
      <c r="E148" s="17"/>
      <c r="F148" s="17"/>
      <c r="G148" s="17"/>
      <c r="H148" s="18"/>
      <c r="I148" s="17"/>
      <c r="J148" s="17"/>
      <c r="K148" s="18"/>
      <c r="L148" s="17"/>
      <c r="M148" s="17"/>
      <c r="N148" s="17"/>
      <c r="O148" s="17"/>
      <c r="P148" s="17"/>
      <c r="Q148" s="17"/>
      <c r="R148" s="17"/>
      <c r="S148" s="17"/>
      <c r="T148" s="19" t="n">
        <f aca="false">IFERROR(ROUND((IF(O148="Severe",4,IF(O148="Moderate",3,IF(O148="Minor",2,0)))+IF(P148="Severe",4,IF(P148="Moderate",3,IF(P148="Minor",2,0)))+IF(Q148="Severe",4,IF(Q148="Moderate",3,IF(Q148="Minor",2,0)))+IF(R148="Severe",4,IF(R148="Moderate",3,IF(R148="Minor",2,0))))/16*100,0),"")</f>
        <v>0</v>
      </c>
      <c r="U148" s="18"/>
      <c r="V148" s="17"/>
      <c r="W148" s="17"/>
      <c r="X148" s="17"/>
      <c r="Y148" s="20" t="n">
        <f aca="false">IFERROR(ROUND(IF(H148&gt;=10,30,IF(H148&gt;=5,20,IF(H148&gt;=2,10,0)))+IF(K148="Yes",20,IF(K148="Unsure",10,0))+IF(U148="Yes",30,IF(U148="Later",15,0))+IFERROR(T148/100*20,0),0),"")</f>
        <v>0</v>
      </c>
      <c r="Z148" s="18" t="str">
        <f aca="false">IFERROR(IF(Y148&gt;=80,"🔥 HOT",IF(Y148&gt;=60,"✅ STRONG",IF(Y148&gt;=40,"⚡ WARM",IF(Y148&gt;=20,"📋 NURTURE",IF(Y148&gt;0,"❌ COLD",""))))),"")</f>
        <v/>
      </c>
      <c r="AA148" s="18" t="str">
        <f aca="false">IFERROR(IF(AND(Y148&gt;=60,OR(U148="Yes",U148="Later")),"🚨 URGENT",IF(AND(Y148&gt;=40,I148="Call Back"),"📞 CALL BACK",IF(I148="Booked Meeting","📅 BOOKED",IF(I148="Not Interested","🚫 DEAD","⏳ WORKING")))),"")</f>
        <v>⏳ WORKING</v>
      </c>
      <c r="AB148" s="21"/>
      <c r="AC148" s="22"/>
      <c r="AD148" s="23" t="str">
        <f aca="true">IFERROR(IF(AC148="","",AC148-TODAY()),"")</f>
        <v/>
      </c>
      <c r="AE148" s="17"/>
    </row>
    <row r="149" customFormat="false" ht="19.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1"/>
      <c r="I149" s="10"/>
      <c r="J149" s="10"/>
      <c r="K149" s="11"/>
      <c r="L149" s="10"/>
      <c r="M149" s="10"/>
      <c r="N149" s="10"/>
      <c r="O149" s="10"/>
      <c r="P149" s="10"/>
      <c r="Q149" s="10"/>
      <c r="R149" s="10"/>
      <c r="S149" s="10"/>
      <c r="T149" s="12" t="n">
        <f aca="false">IFERROR(ROUND((IF(O149="Severe",4,IF(O149="Moderate",3,IF(O149="Minor",2,0)))+IF(P149="Severe",4,IF(P149="Moderate",3,IF(P149="Minor",2,0)))+IF(Q149="Severe",4,IF(Q149="Moderate",3,IF(Q149="Minor",2,0)))+IF(R149="Severe",4,IF(R149="Moderate",3,IF(R149="Minor",2,0))))/16*100,0),"")</f>
        <v>0</v>
      </c>
      <c r="U149" s="11"/>
      <c r="V149" s="10"/>
      <c r="W149" s="10"/>
      <c r="X149" s="10"/>
      <c r="Y149" s="13" t="n">
        <f aca="false">IFERROR(ROUND(IF(H149&gt;=10,30,IF(H149&gt;=5,20,IF(H149&gt;=2,10,0)))+IF(K149="Yes",20,IF(K149="Unsure",10,0))+IF(U149="Yes",30,IF(U149="Later",15,0))+IFERROR(T149/100*20,0),0),"")</f>
        <v>0</v>
      </c>
      <c r="Z149" s="11" t="str">
        <f aca="false">IFERROR(IF(Y149&gt;=80,"🔥 HOT",IF(Y149&gt;=60,"✅ STRONG",IF(Y149&gt;=40,"⚡ WARM",IF(Y149&gt;=20,"📋 NURTURE",IF(Y149&gt;0,"❌ COLD",""))))),"")</f>
        <v/>
      </c>
      <c r="AA149" s="11" t="str">
        <f aca="false">IFERROR(IF(AND(Y149&gt;=60,OR(U149="Yes",U149="Later")),"🚨 URGENT",IF(AND(Y149&gt;=40,I149="Call Back"),"📞 CALL BACK",IF(I149="Booked Meeting","📅 BOOKED",IF(I149="Not Interested","🚫 DEAD","⏳ WORKING")))),"")</f>
        <v>⏳ WORKING</v>
      </c>
      <c r="AB149" s="14"/>
      <c r="AC149" s="15"/>
      <c r="AD149" s="16" t="str">
        <f aca="true">IFERROR(IF(AC149="","",AC149-TODAY()),"")</f>
        <v/>
      </c>
      <c r="AE149" s="10"/>
    </row>
    <row r="150" customFormat="false" ht="19.5" hidden="false" customHeight="true" outlineLevel="0" collapsed="false">
      <c r="A150" s="17"/>
      <c r="B150" s="17"/>
      <c r="C150" s="17"/>
      <c r="D150" s="17"/>
      <c r="E150" s="17"/>
      <c r="F150" s="17"/>
      <c r="G150" s="17"/>
      <c r="H150" s="18"/>
      <c r="I150" s="17"/>
      <c r="J150" s="17"/>
      <c r="K150" s="18"/>
      <c r="L150" s="17"/>
      <c r="M150" s="17"/>
      <c r="N150" s="17"/>
      <c r="O150" s="17"/>
      <c r="P150" s="17"/>
      <c r="Q150" s="17"/>
      <c r="R150" s="17"/>
      <c r="S150" s="17"/>
      <c r="T150" s="19" t="n">
        <f aca="false">IFERROR(ROUND((IF(O150="Severe",4,IF(O150="Moderate",3,IF(O150="Minor",2,0)))+IF(P150="Severe",4,IF(P150="Moderate",3,IF(P150="Minor",2,0)))+IF(Q150="Severe",4,IF(Q150="Moderate",3,IF(Q150="Minor",2,0)))+IF(R150="Severe",4,IF(R150="Moderate",3,IF(R150="Minor",2,0))))/16*100,0),"")</f>
        <v>0</v>
      </c>
      <c r="U150" s="18"/>
      <c r="V150" s="17"/>
      <c r="W150" s="17"/>
      <c r="X150" s="17"/>
      <c r="Y150" s="20" t="n">
        <f aca="false">IFERROR(ROUND(IF(H150&gt;=10,30,IF(H150&gt;=5,20,IF(H150&gt;=2,10,0)))+IF(K150="Yes",20,IF(K150="Unsure",10,0))+IF(U150="Yes",30,IF(U150="Later",15,0))+IFERROR(T150/100*20,0),0),"")</f>
        <v>0</v>
      </c>
      <c r="Z150" s="18" t="str">
        <f aca="false">IFERROR(IF(Y150&gt;=80,"🔥 HOT",IF(Y150&gt;=60,"✅ STRONG",IF(Y150&gt;=40,"⚡ WARM",IF(Y150&gt;=20,"📋 NURTURE",IF(Y150&gt;0,"❌ COLD",""))))),"")</f>
        <v/>
      </c>
      <c r="AA150" s="18" t="str">
        <f aca="false">IFERROR(IF(AND(Y150&gt;=60,OR(U150="Yes",U150="Later")),"🚨 URGENT",IF(AND(Y150&gt;=40,I150="Call Back"),"📞 CALL BACK",IF(I150="Booked Meeting","📅 BOOKED",IF(I150="Not Interested","🚫 DEAD","⏳ WORKING")))),"")</f>
        <v>⏳ WORKING</v>
      </c>
      <c r="AB150" s="21"/>
      <c r="AC150" s="22"/>
      <c r="AD150" s="23" t="str">
        <f aca="true">IFERROR(IF(AC150="","",AC150-TODAY()),"")</f>
        <v/>
      </c>
      <c r="AE150" s="17"/>
    </row>
    <row r="151" customFormat="false" ht="19.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1"/>
      <c r="I151" s="10"/>
      <c r="J151" s="10"/>
      <c r="K151" s="11"/>
      <c r="L151" s="10"/>
      <c r="M151" s="10"/>
      <c r="N151" s="10"/>
      <c r="O151" s="10"/>
      <c r="P151" s="10"/>
      <c r="Q151" s="10"/>
      <c r="R151" s="10"/>
      <c r="S151" s="10"/>
      <c r="T151" s="12" t="n">
        <f aca="false">IFERROR(ROUND((IF(O151="Severe",4,IF(O151="Moderate",3,IF(O151="Minor",2,0)))+IF(P151="Severe",4,IF(P151="Moderate",3,IF(P151="Minor",2,0)))+IF(Q151="Severe",4,IF(Q151="Moderate",3,IF(Q151="Minor",2,0)))+IF(R151="Severe",4,IF(R151="Moderate",3,IF(R151="Minor",2,0))))/16*100,0),"")</f>
        <v>0</v>
      </c>
      <c r="U151" s="11"/>
      <c r="V151" s="10"/>
      <c r="W151" s="10"/>
      <c r="X151" s="10"/>
      <c r="Y151" s="13" t="n">
        <f aca="false">IFERROR(ROUND(IF(H151&gt;=10,30,IF(H151&gt;=5,20,IF(H151&gt;=2,10,0)))+IF(K151="Yes",20,IF(K151="Unsure",10,0))+IF(U151="Yes",30,IF(U151="Later",15,0))+IFERROR(T151/100*20,0),0),"")</f>
        <v>0</v>
      </c>
      <c r="Z151" s="11" t="str">
        <f aca="false">IFERROR(IF(Y151&gt;=80,"🔥 HOT",IF(Y151&gt;=60,"✅ STRONG",IF(Y151&gt;=40,"⚡ WARM",IF(Y151&gt;=20,"📋 NURTURE",IF(Y151&gt;0,"❌ COLD",""))))),"")</f>
        <v/>
      </c>
      <c r="AA151" s="11" t="str">
        <f aca="false">IFERROR(IF(AND(Y151&gt;=60,OR(U151="Yes",U151="Later")),"🚨 URGENT",IF(AND(Y151&gt;=40,I151="Call Back"),"📞 CALL BACK",IF(I151="Booked Meeting","📅 BOOKED",IF(I151="Not Interested","🚫 DEAD","⏳ WORKING")))),"")</f>
        <v>⏳ WORKING</v>
      </c>
      <c r="AB151" s="14"/>
      <c r="AC151" s="15"/>
      <c r="AD151" s="16" t="str">
        <f aca="true">IFERROR(IF(AC151="","",AC151-TODAY()),"")</f>
        <v/>
      </c>
      <c r="AE151" s="10"/>
    </row>
    <row r="152" customFormat="false" ht="19.5" hidden="false" customHeight="true" outlineLevel="0" collapsed="false">
      <c r="A152" s="17"/>
      <c r="B152" s="17"/>
      <c r="C152" s="17"/>
      <c r="D152" s="17"/>
      <c r="E152" s="17"/>
      <c r="F152" s="17"/>
      <c r="G152" s="17"/>
      <c r="H152" s="18"/>
      <c r="I152" s="17"/>
      <c r="J152" s="17"/>
      <c r="K152" s="18"/>
      <c r="L152" s="17"/>
      <c r="M152" s="17"/>
      <c r="N152" s="17"/>
      <c r="O152" s="17"/>
      <c r="P152" s="17"/>
      <c r="Q152" s="17"/>
      <c r="R152" s="17"/>
      <c r="S152" s="17"/>
      <c r="T152" s="19" t="n">
        <f aca="false">IFERROR(ROUND((IF(O152="Severe",4,IF(O152="Moderate",3,IF(O152="Minor",2,0)))+IF(P152="Severe",4,IF(P152="Moderate",3,IF(P152="Minor",2,0)))+IF(Q152="Severe",4,IF(Q152="Moderate",3,IF(Q152="Minor",2,0)))+IF(R152="Severe",4,IF(R152="Moderate",3,IF(R152="Minor",2,0))))/16*100,0),"")</f>
        <v>0</v>
      </c>
      <c r="U152" s="18"/>
      <c r="V152" s="17"/>
      <c r="W152" s="17"/>
      <c r="X152" s="17"/>
      <c r="Y152" s="20" t="n">
        <f aca="false">IFERROR(ROUND(IF(H152&gt;=10,30,IF(H152&gt;=5,20,IF(H152&gt;=2,10,0)))+IF(K152="Yes",20,IF(K152="Unsure",10,0))+IF(U152="Yes",30,IF(U152="Later",15,0))+IFERROR(T152/100*20,0),0),"")</f>
        <v>0</v>
      </c>
      <c r="Z152" s="18" t="str">
        <f aca="false">IFERROR(IF(Y152&gt;=80,"🔥 HOT",IF(Y152&gt;=60,"✅ STRONG",IF(Y152&gt;=40,"⚡ WARM",IF(Y152&gt;=20,"📋 NURTURE",IF(Y152&gt;0,"❌ COLD",""))))),"")</f>
        <v/>
      </c>
      <c r="AA152" s="18" t="str">
        <f aca="false">IFERROR(IF(AND(Y152&gt;=60,OR(U152="Yes",U152="Later")),"🚨 URGENT",IF(AND(Y152&gt;=40,I152="Call Back"),"📞 CALL BACK",IF(I152="Booked Meeting","📅 BOOKED",IF(I152="Not Interested","🚫 DEAD","⏳ WORKING")))),"")</f>
        <v>⏳ WORKING</v>
      </c>
      <c r="AB152" s="21"/>
      <c r="AC152" s="22"/>
      <c r="AD152" s="23" t="str">
        <f aca="true">IFERROR(IF(AC152="","",AC152-TODAY()),"")</f>
        <v/>
      </c>
      <c r="AE152" s="17"/>
    </row>
    <row r="153" customFormat="false" ht="19.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1"/>
      <c r="I153" s="10"/>
      <c r="J153" s="10"/>
      <c r="K153" s="11"/>
      <c r="L153" s="10"/>
      <c r="M153" s="10"/>
      <c r="N153" s="10"/>
      <c r="O153" s="10"/>
      <c r="P153" s="10"/>
      <c r="Q153" s="10"/>
      <c r="R153" s="10"/>
      <c r="S153" s="10"/>
      <c r="T153" s="12" t="n">
        <f aca="false">IFERROR(ROUND((IF(O153="Severe",4,IF(O153="Moderate",3,IF(O153="Minor",2,0)))+IF(P153="Severe",4,IF(P153="Moderate",3,IF(P153="Minor",2,0)))+IF(Q153="Severe",4,IF(Q153="Moderate",3,IF(Q153="Minor",2,0)))+IF(R153="Severe",4,IF(R153="Moderate",3,IF(R153="Minor",2,0))))/16*100,0),"")</f>
        <v>0</v>
      </c>
      <c r="U153" s="11"/>
      <c r="V153" s="10"/>
      <c r="W153" s="10"/>
      <c r="X153" s="10"/>
      <c r="Y153" s="13" t="n">
        <f aca="false">IFERROR(ROUND(IF(H153&gt;=10,30,IF(H153&gt;=5,20,IF(H153&gt;=2,10,0)))+IF(K153="Yes",20,IF(K153="Unsure",10,0))+IF(U153="Yes",30,IF(U153="Later",15,0))+IFERROR(T153/100*20,0),0),"")</f>
        <v>0</v>
      </c>
      <c r="Z153" s="11" t="str">
        <f aca="false">IFERROR(IF(Y153&gt;=80,"🔥 HOT",IF(Y153&gt;=60,"✅ STRONG",IF(Y153&gt;=40,"⚡ WARM",IF(Y153&gt;=20,"📋 NURTURE",IF(Y153&gt;0,"❌ COLD",""))))),"")</f>
        <v/>
      </c>
      <c r="AA153" s="11" t="str">
        <f aca="false">IFERROR(IF(AND(Y153&gt;=60,OR(U153="Yes",U153="Later")),"🚨 URGENT",IF(AND(Y153&gt;=40,I153="Call Back"),"📞 CALL BACK",IF(I153="Booked Meeting","📅 BOOKED",IF(I153="Not Interested","🚫 DEAD","⏳ WORKING")))),"")</f>
        <v>⏳ WORKING</v>
      </c>
      <c r="AB153" s="14"/>
      <c r="AC153" s="15"/>
      <c r="AD153" s="16" t="str">
        <f aca="true">IFERROR(IF(AC153="","",AC153-TODAY()),"")</f>
        <v/>
      </c>
      <c r="AE153" s="10"/>
    </row>
    <row r="154" customFormat="false" ht="19.5" hidden="false" customHeight="true" outlineLevel="0" collapsed="false">
      <c r="A154" s="17"/>
      <c r="B154" s="17"/>
      <c r="C154" s="17"/>
      <c r="D154" s="17"/>
      <c r="E154" s="17"/>
      <c r="F154" s="17"/>
      <c r="G154" s="17"/>
      <c r="H154" s="18"/>
      <c r="I154" s="17"/>
      <c r="J154" s="17"/>
      <c r="K154" s="18"/>
      <c r="L154" s="17"/>
      <c r="M154" s="17"/>
      <c r="N154" s="17"/>
      <c r="O154" s="17"/>
      <c r="P154" s="17"/>
      <c r="Q154" s="17"/>
      <c r="R154" s="17"/>
      <c r="S154" s="17"/>
      <c r="T154" s="19" t="n">
        <f aca="false">IFERROR(ROUND((IF(O154="Severe",4,IF(O154="Moderate",3,IF(O154="Minor",2,0)))+IF(P154="Severe",4,IF(P154="Moderate",3,IF(P154="Minor",2,0)))+IF(Q154="Severe",4,IF(Q154="Moderate",3,IF(Q154="Minor",2,0)))+IF(R154="Severe",4,IF(R154="Moderate",3,IF(R154="Minor",2,0))))/16*100,0),"")</f>
        <v>0</v>
      </c>
      <c r="U154" s="18"/>
      <c r="V154" s="17"/>
      <c r="W154" s="17"/>
      <c r="X154" s="17"/>
      <c r="Y154" s="20" t="n">
        <f aca="false">IFERROR(ROUND(IF(H154&gt;=10,30,IF(H154&gt;=5,20,IF(H154&gt;=2,10,0)))+IF(K154="Yes",20,IF(K154="Unsure",10,0))+IF(U154="Yes",30,IF(U154="Later",15,0))+IFERROR(T154/100*20,0),0),"")</f>
        <v>0</v>
      </c>
      <c r="Z154" s="18" t="str">
        <f aca="false">IFERROR(IF(Y154&gt;=80,"🔥 HOT",IF(Y154&gt;=60,"✅ STRONG",IF(Y154&gt;=40,"⚡ WARM",IF(Y154&gt;=20,"📋 NURTURE",IF(Y154&gt;0,"❌ COLD",""))))),"")</f>
        <v/>
      </c>
      <c r="AA154" s="18" t="str">
        <f aca="false">IFERROR(IF(AND(Y154&gt;=60,OR(U154="Yes",U154="Later")),"🚨 URGENT",IF(AND(Y154&gt;=40,I154="Call Back"),"📞 CALL BACK",IF(I154="Booked Meeting","📅 BOOKED",IF(I154="Not Interested","🚫 DEAD","⏳ WORKING")))),"")</f>
        <v>⏳ WORKING</v>
      </c>
      <c r="AB154" s="21"/>
      <c r="AC154" s="22"/>
      <c r="AD154" s="23" t="str">
        <f aca="true">IFERROR(IF(AC154="","",AC154-TODAY()),"")</f>
        <v/>
      </c>
      <c r="AE154" s="17"/>
    </row>
    <row r="155" customFormat="false" ht="19.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1"/>
      <c r="I155" s="10"/>
      <c r="J155" s="10"/>
      <c r="K155" s="11"/>
      <c r="L155" s="10"/>
      <c r="M155" s="10"/>
      <c r="N155" s="10"/>
      <c r="O155" s="10"/>
      <c r="P155" s="10"/>
      <c r="Q155" s="10"/>
      <c r="R155" s="10"/>
      <c r="S155" s="10"/>
      <c r="T155" s="12" t="n">
        <f aca="false">IFERROR(ROUND((IF(O155="Severe",4,IF(O155="Moderate",3,IF(O155="Minor",2,0)))+IF(P155="Severe",4,IF(P155="Moderate",3,IF(P155="Minor",2,0)))+IF(Q155="Severe",4,IF(Q155="Moderate",3,IF(Q155="Minor",2,0)))+IF(R155="Severe",4,IF(R155="Moderate",3,IF(R155="Minor",2,0))))/16*100,0),"")</f>
        <v>0</v>
      </c>
      <c r="U155" s="11"/>
      <c r="V155" s="10"/>
      <c r="W155" s="10"/>
      <c r="X155" s="10"/>
      <c r="Y155" s="13" t="n">
        <f aca="false">IFERROR(ROUND(IF(H155&gt;=10,30,IF(H155&gt;=5,20,IF(H155&gt;=2,10,0)))+IF(K155="Yes",20,IF(K155="Unsure",10,0))+IF(U155="Yes",30,IF(U155="Later",15,0))+IFERROR(T155/100*20,0),0),"")</f>
        <v>0</v>
      </c>
      <c r="Z155" s="11" t="str">
        <f aca="false">IFERROR(IF(Y155&gt;=80,"🔥 HOT",IF(Y155&gt;=60,"✅ STRONG",IF(Y155&gt;=40,"⚡ WARM",IF(Y155&gt;=20,"📋 NURTURE",IF(Y155&gt;0,"❌ COLD",""))))),"")</f>
        <v/>
      </c>
      <c r="AA155" s="11" t="str">
        <f aca="false">IFERROR(IF(AND(Y155&gt;=60,OR(U155="Yes",U155="Later")),"🚨 URGENT",IF(AND(Y155&gt;=40,I155="Call Back"),"📞 CALL BACK",IF(I155="Booked Meeting","📅 BOOKED",IF(I155="Not Interested","🚫 DEAD","⏳ WORKING")))),"")</f>
        <v>⏳ WORKING</v>
      </c>
      <c r="AB155" s="14"/>
      <c r="AC155" s="15"/>
      <c r="AD155" s="16" t="str">
        <f aca="true">IFERROR(IF(AC155="","",AC155-TODAY()),"")</f>
        <v/>
      </c>
      <c r="AE155" s="10"/>
    </row>
    <row r="156" customFormat="false" ht="19.5" hidden="false" customHeight="true" outlineLevel="0" collapsed="false">
      <c r="A156" s="17"/>
      <c r="B156" s="17"/>
      <c r="C156" s="17"/>
      <c r="D156" s="17"/>
      <c r="E156" s="17"/>
      <c r="F156" s="17"/>
      <c r="G156" s="17"/>
      <c r="H156" s="18"/>
      <c r="I156" s="17"/>
      <c r="J156" s="17"/>
      <c r="K156" s="18"/>
      <c r="L156" s="17"/>
      <c r="M156" s="17"/>
      <c r="N156" s="17"/>
      <c r="O156" s="17"/>
      <c r="P156" s="17"/>
      <c r="Q156" s="17"/>
      <c r="R156" s="17"/>
      <c r="S156" s="17"/>
      <c r="T156" s="19" t="n">
        <f aca="false">IFERROR(ROUND((IF(O156="Severe",4,IF(O156="Moderate",3,IF(O156="Minor",2,0)))+IF(P156="Severe",4,IF(P156="Moderate",3,IF(P156="Minor",2,0)))+IF(Q156="Severe",4,IF(Q156="Moderate",3,IF(Q156="Minor",2,0)))+IF(R156="Severe",4,IF(R156="Moderate",3,IF(R156="Minor",2,0))))/16*100,0),"")</f>
        <v>0</v>
      </c>
      <c r="U156" s="18"/>
      <c r="V156" s="17"/>
      <c r="W156" s="17"/>
      <c r="X156" s="17"/>
      <c r="Y156" s="20" t="n">
        <f aca="false">IFERROR(ROUND(IF(H156&gt;=10,30,IF(H156&gt;=5,20,IF(H156&gt;=2,10,0)))+IF(K156="Yes",20,IF(K156="Unsure",10,0))+IF(U156="Yes",30,IF(U156="Later",15,0))+IFERROR(T156/100*20,0),0),"")</f>
        <v>0</v>
      </c>
      <c r="Z156" s="18" t="str">
        <f aca="false">IFERROR(IF(Y156&gt;=80,"🔥 HOT",IF(Y156&gt;=60,"✅ STRONG",IF(Y156&gt;=40,"⚡ WARM",IF(Y156&gt;=20,"📋 NURTURE",IF(Y156&gt;0,"❌ COLD",""))))),"")</f>
        <v/>
      </c>
      <c r="AA156" s="18" t="str">
        <f aca="false">IFERROR(IF(AND(Y156&gt;=60,OR(U156="Yes",U156="Later")),"🚨 URGENT",IF(AND(Y156&gt;=40,I156="Call Back"),"📞 CALL BACK",IF(I156="Booked Meeting","📅 BOOKED",IF(I156="Not Interested","🚫 DEAD","⏳ WORKING")))),"")</f>
        <v>⏳ WORKING</v>
      </c>
      <c r="AB156" s="21"/>
      <c r="AC156" s="22"/>
      <c r="AD156" s="23" t="str">
        <f aca="true">IFERROR(IF(AC156="","",AC156-TODAY()),"")</f>
        <v/>
      </c>
      <c r="AE156" s="17"/>
    </row>
    <row r="157" customFormat="false" ht="19.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1"/>
      <c r="I157" s="10"/>
      <c r="J157" s="10"/>
      <c r="K157" s="11"/>
      <c r="L157" s="10"/>
      <c r="M157" s="10"/>
      <c r="N157" s="10"/>
      <c r="O157" s="10"/>
      <c r="P157" s="10"/>
      <c r="Q157" s="10"/>
      <c r="R157" s="10"/>
      <c r="S157" s="10"/>
      <c r="T157" s="12" t="n">
        <f aca="false">IFERROR(ROUND((IF(O157="Severe",4,IF(O157="Moderate",3,IF(O157="Minor",2,0)))+IF(P157="Severe",4,IF(P157="Moderate",3,IF(P157="Minor",2,0)))+IF(Q157="Severe",4,IF(Q157="Moderate",3,IF(Q157="Minor",2,0)))+IF(R157="Severe",4,IF(R157="Moderate",3,IF(R157="Minor",2,0))))/16*100,0),"")</f>
        <v>0</v>
      </c>
      <c r="U157" s="11"/>
      <c r="V157" s="10"/>
      <c r="W157" s="10"/>
      <c r="X157" s="10"/>
      <c r="Y157" s="13" t="n">
        <f aca="false">IFERROR(ROUND(IF(H157&gt;=10,30,IF(H157&gt;=5,20,IF(H157&gt;=2,10,0)))+IF(K157="Yes",20,IF(K157="Unsure",10,0))+IF(U157="Yes",30,IF(U157="Later",15,0))+IFERROR(T157/100*20,0),0),"")</f>
        <v>0</v>
      </c>
      <c r="Z157" s="11" t="str">
        <f aca="false">IFERROR(IF(Y157&gt;=80,"🔥 HOT",IF(Y157&gt;=60,"✅ STRONG",IF(Y157&gt;=40,"⚡ WARM",IF(Y157&gt;=20,"📋 NURTURE",IF(Y157&gt;0,"❌ COLD",""))))),"")</f>
        <v/>
      </c>
      <c r="AA157" s="11" t="str">
        <f aca="false">IFERROR(IF(AND(Y157&gt;=60,OR(U157="Yes",U157="Later")),"🚨 URGENT",IF(AND(Y157&gt;=40,I157="Call Back"),"📞 CALL BACK",IF(I157="Booked Meeting","📅 BOOKED",IF(I157="Not Interested","🚫 DEAD","⏳ WORKING")))),"")</f>
        <v>⏳ WORKING</v>
      </c>
      <c r="AB157" s="14"/>
      <c r="AC157" s="15"/>
      <c r="AD157" s="16" t="str">
        <f aca="true">IFERROR(IF(AC157="","",AC157-TODAY()),"")</f>
        <v/>
      </c>
      <c r="AE157" s="10"/>
    </row>
    <row r="158" customFormat="false" ht="19.5" hidden="false" customHeight="true" outlineLevel="0" collapsed="false">
      <c r="A158" s="17"/>
      <c r="B158" s="17"/>
      <c r="C158" s="17"/>
      <c r="D158" s="17"/>
      <c r="E158" s="17"/>
      <c r="F158" s="17"/>
      <c r="G158" s="17"/>
      <c r="H158" s="18"/>
      <c r="I158" s="17"/>
      <c r="J158" s="17"/>
      <c r="K158" s="18"/>
      <c r="L158" s="17"/>
      <c r="M158" s="17"/>
      <c r="N158" s="17"/>
      <c r="O158" s="17"/>
      <c r="P158" s="17"/>
      <c r="Q158" s="17"/>
      <c r="R158" s="17"/>
      <c r="S158" s="17"/>
      <c r="T158" s="19" t="n">
        <f aca="false">IFERROR(ROUND((IF(O158="Severe",4,IF(O158="Moderate",3,IF(O158="Minor",2,0)))+IF(P158="Severe",4,IF(P158="Moderate",3,IF(P158="Minor",2,0)))+IF(Q158="Severe",4,IF(Q158="Moderate",3,IF(Q158="Minor",2,0)))+IF(R158="Severe",4,IF(R158="Moderate",3,IF(R158="Minor",2,0))))/16*100,0),"")</f>
        <v>0</v>
      </c>
      <c r="U158" s="18"/>
      <c r="V158" s="17"/>
      <c r="W158" s="17"/>
      <c r="X158" s="17"/>
      <c r="Y158" s="20" t="n">
        <f aca="false">IFERROR(ROUND(IF(H158&gt;=10,30,IF(H158&gt;=5,20,IF(H158&gt;=2,10,0)))+IF(K158="Yes",20,IF(K158="Unsure",10,0))+IF(U158="Yes",30,IF(U158="Later",15,0))+IFERROR(T158/100*20,0),0),"")</f>
        <v>0</v>
      </c>
      <c r="Z158" s="18" t="str">
        <f aca="false">IFERROR(IF(Y158&gt;=80,"🔥 HOT",IF(Y158&gt;=60,"✅ STRONG",IF(Y158&gt;=40,"⚡ WARM",IF(Y158&gt;=20,"📋 NURTURE",IF(Y158&gt;0,"❌ COLD",""))))),"")</f>
        <v/>
      </c>
      <c r="AA158" s="18" t="str">
        <f aca="false">IFERROR(IF(AND(Y158&gt;=60,OR(U158="Yes",U158="Later")),"🚨 URGENT",IF(AND(Y158&gt;=40,I158="Call Back"),"📞 CALL BACK",IF(I158="Booked Meeting","📅 BOOKED",IF(I158="Not Interested","🚫 DEAD","⏳ WORKING")))),"")</f>
        <v>⏳ WORKING</v>
      </c>
      <c r="AB158" s="21"/>
      <c r="AC158" s="22"/>
      <c r="AD158" s="23" t="str">
        <f aca="true">IFERROR(IF(AC158="","",AC158-TODAY()),"")</f>
        <v/>
      </c>
      <c r="AE158" s="17"/>
    </row>
    <row r="159" customFormat="false" ht="19.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1"/>
      <c r="I159" s="10"/>
      <c r="J159" s="10"/>
      <c r="K159" s="11"/>
      <c r="L159" s="10"/>
      <c r="M159" s="10"/>
      <c r="N159" s="10"/>
      <c r="O159" s="10"/>
      <c r="P159" s="10"/>
      <c r="Q159" s="10"/>
      <c r="R159" s="10"/>
      <c r="S159" s="10"/>
      <c r="T159" s="12" t="n">
        <f aca="false">IFERROR(ROUND((IF(O159="Severe",4,IF(O159="Moderate",3,IF(O159="Minor",2,0)))+IF(P159="Severe",4,IF(P159="Moderate",3,IF(P159="Minor",2,0)))+IF(Q159="Severe",4,IF(Q159="Moderate",3,IF(Q159="Minor",2,0)))+IF(R159="Severe",4,IF(R159="Moderate",3,IF(R159="Minor",2,0))))/16*100,0),"")</f>
        <v>0</v>
      </c>
      <c r="U159" s="11"/>
      <c r="V159" s="10"/>
      <c r="W159" s="10"/>
      <c r="X159" s="10"/>
      <c r="Y159" s="13" t="n">
        <f aca="false">IFERROR(ROUND(IF(H159&gt;=10,30,IF(H159&gt;=5,20,IF(H159&gt;=2,10,0)))+IF(K159="Yes",20,IF(K159="Unsure",10,0))+IF(U159="Yes",30,IF(U159="Later",15,0))+IFERROR(T159/100*20,0),0),"")</f>
        <v>0</v>
      </c>
      <c r="Z159" s="11" t="str">
        <f aca="false">IFERROR(IF(Y159&gt;=80,"🔥 HOT",IF(Y159&gt;=60,"✅ STRONG",IF(Y159&gt;=40,"⚡ WARM",IF(Y159&gt;=20,"📋 NURTURE",IF(Y159&gt;0,"❌ COLD",""))))),"")</f>
        <v/>
      </c>
      <c r="AA159" s="11" t="str">
        <f aca="false">IFERROR(IF(AND(Y159&gt;=60,OR(U159="Yes",U159="Later")),"🚨 URGENT",IF(AND(Y159&gt;=40,I159="Call Back"),"📞 CALL BACK",IF(I159="Booked Meeting","📅 BOOKED",IF(I159="Not Interested","🚫 DEAD","⏳ WORKING")))),"")</f>
        <v>⏳ WORKING</v>
      </c>
      <c r="AB159" s="14"/>
      <c r="AC159" s="15"/>
      <c r="AD159" s="16" t="str">
        <f aca="true">IFERROR(IF(AC159="","",AC159-TODAY()),"")</f>
        <v/>
      </c>
      <c r="AE159" s="10"/>
    </row>
    <row r="160" customFormat="false" ht="19.5" hidden="false" customHeight="true" outlineLevel="0" collapsed="false">
      <c r="A160" s="17"/>
      <c r="B160" s="17"/>
      <c r="C160" s="17"/>
      <c r="D160" s="17"/>
      <c r="E160" s="17"/>
      <c r="F160" s="17"/>
      <c r="G160" s="17"/>
      <c r="H160" s="18"/>
      <c r="I160" s="17"/>
      <c r="J160" s="17"/>
      <c r="K160" s="18"/>
      <c r="L160" s="17"/>
      <c r="M160" s="17"/>
      <c r="N160" s="17"/>
      <c r="O160" s="17"/>
      <c r="P160" s="17"/>
      <c r="Q160" s="17"/>
      <c r="R160" s="17"/>
      <c r="S160" s="17"/>
      <c r="T160" s="19" t="n">
        <f aca="false">IFERROR(ROUND((IF(O160="Severe",4,IF(O160="Moderate",3,IF(O160="Minor",2,0)))+IF(P160="Severe",4,IF(P160="Moderate",3,IF(P160="Minor",2,0)))+IF(Q160="Severe",4,IF(Q160="Moderate",3,IF(Q160="Minor",2,0)))+IF(R160="Severe",4,IF(R160="Moderate",3,IF(R160="Minor",2,0))))/16*100,0),"")</f>
        <v>0</v>
      </c>
      <c r="U160" s="18"/>
      <c r="V160" s="17"/>
      <c r="W160" s="17"/>
      <c r="X160" s="17"/>
      <c r="Y160" s="20" t="n">
        <f aca="false">IFERROR(ROUND(IF(H160&gt;=10,30,IF(H160&gt;=5,20,IF(H160&gt;=2,10,0)))+IF(K160="Yes",20,IF(K160="Unsure",10,0))+IF(U160="Yes",30,IF(U160="Later",15,0))+IFERROR(T160/100*20,0),0),"")</f>
        <v>0</v>
      </c>
      <c r="Z160" s="18" t="str">
        <f aca="false">IFERROR(IF(Y160&gt;=80,"🔥 HOT",IF(Y160&gt;=60,"✅ STRONG",IF(Y160&gt;=40,"⚡ WARM",IF(Y160&gt;=20,"📋 NURTURE",IF(Y160&gt;0,"❌ COLD",""))))),"")</f>
        <v/>
      </c>
      <c r="AA160" s="18" t="str">
        <f aca="false">IFERROR(IF(AND(Y160&gt;=60,OR(U160="Yes",U160="Later")),"🚨 URGENT",IF(AND(Y160&gt;=40,I160="Call Back"),"📞 CALL BACK",IF(I160="Booked Meeting","📅 BOOKED",IF(I160="Not Interested","🚫 DEAD","⏳ WORKING")))),"")</f>
        <v>⏳ WORKING</v>
      </c>
      <c r="AB160" s="21"/>
      <c r="AC160" s="22"/>
      <c r="AD160" s="23" t="str">
        <f aca="true">IFERROR(IF(AC160="","",AC160-TODAY()),"")</f>
        <v/>
      </c>
      <c r="AE160" s="17"/>
    </row>
    <row r="161" customFormat="false" ht="19.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1"/>
      <c r="I161" s="10"/>
      <c r="J161" s="10"/>
      <c r="K161" s="11"/>
      <c r="L161" s="10"/>
      <c r="M161" s="10"/>
      <c r="N161" s="10"/>
      <c r="O161" s="10"/>
      <c r="P161" s="10"/>
      <c r="Q161" s="10"/>
      <c r="R161" s="10"/>
      <c r="S161" s="10"/>
      <c r="T161" s="12" t="n">
        <f aca="false">IFERROR(ROUND((IF(O161="Severe",4,IF(O161="Moderate",3,IF(O161="Minor",2,0)))+IF(P161="Severe",4,IF(P161="Moderate",3,IF(P161="Minor",2,0)))+IF(Q161="Severe",4,IF(Q161="Moderate",3,IF(Q161="Minor",2,0)))+IF(R161="Severe",4,IF(R161="Moderate",3,IF(R161="Minor",2,0))))/16*100,0),"")</f>
        <v>0</v>
      </c>
      <c r="U161" s="11"/>
      <c r="V161" s="10"/>
      <c r="W161" s="10"/>
      <c r="X161" s="10"/>
      <c r="Y161" s="13" t="n">
        <f aca="false">IFERROR(ROUND(IF(H161&gt;=10,30,IF(H161&gt;=5,20,IF(H161&gt;=2,10,0)))+IF(K161="Yes",20,IF(K161="Unsure",10,0))+IF(U161="Yes",30,IF(U161="Later",15,0))+IFERROR(T161/100*20,0),0),"")</f>
        <v>0</v>
      </c>
      <c r="Z161" s="11" t="str">
        <f aca="false">IFERROR(IF(Y161&gt;=80,"🔥 HOT",IF(Y161&gt;=60,"✅ STRONG",IF(Y161&gt;=40,"⚡ WARM",IF(Y161&gt;=20,"📋 NURTURE",IF(Y161&gt;0,"❌ COLD",""))))),"")</f>
        <v/>
      </c>
      <c r="AA161" s="11" t="str">
        <f aca="false">IFERROR(IF(AND(Y161&gt;=60,OR(U161="Yes",U161="Later")),"🚨 URGENT",IF(AND(Y161&gt;=40,I161="Call Back"),"📞 CALL BACK",IF(I161="Booked Meeting","📅 BOOKED",IF(I161="Not Interested","🚫 DEAD","⏳ WORKING")))),"")</f>
        <v>⏳ WORKING</v>
      </c>
      <c r="AB161" s="14"/>
      <c r="AC161" s="15"/>
      <c r="AD161" s="16" t="str">
        <f aca="true">IFERROR(IF(AC161="","",AC161-TODAY()),"")</f>
        <v/>
      </c>
      <c r="AE161" s="10"/>
    </row>
    <row r="162" customFormat="false" ht="19.5" hidden="false" customHeight="true" outlineLevel="0" collapsed="false">
      <c r="A162" s="17"/>
      <c r="B162" s="17"/>
      <c r="C162" s="17"/>
      <c r="D162" s="17"/>
      <c r="E162" s="17"/>
      <c r="F162" s="17"/>
      <c r="G162" s="17"/>
      <c r="H162" s="18"/>
      <c r="I162" s="17"/>
      <c r="J162" s="17"/>
      <c r="K162" s="18"/>
      <c r="L162" s="17"/>
      <c r="M162" s="17"/>
      <c r="N162" s="17"/>
      <c r="O162" s="17"/>
      <c r="P162" s="17"/>
      <c r="Q162" s="17"/>
      <c r="R162" s="17"/>
      <c r="S162" s="17"/>
      <c r="T162" s="19" t="n">
        <f aca="false">IFERROR(ROUND((IF(O162="Severe",4,IF(O162="Moderate",3,IF(O162="Minor",2,0)))+IF(P162="Severe",4,IF(P162="Moderate",3,IF(P162="Minor",2,0)))+IF(Q162="Severe",4,IF(Q162="Moderate",3,IF(Q162="Minor",2,0)))+IF(R162="Severe",4,IF(R162="Moderate",3,IF(R162="Minor",2,0))))/16*100,0),"")</f>
        <v>0</v>
      </c>
      <c r="U162" s="18"/>
      <c r="V162" s="17"/>
      <c r="W162" s="17"/>
      <c r="X162" s="17"/>
      <c r="Y162" s="20" t="n">
        <f aca="false">IFERROR(ROUND(IF(H162&gt;=10,30,IF(H162&gt;=5,20,IF(H162&gt;=2,10,0)))+IF(K162="Yes",20,IF(K162="Unsure",10,0))+IF(U162="Yes",30,IF(U162="Later",15,0))+IFERROR(T162/100*20,0),0),"")</f>
        <v>0</v>
      </c>
      <c r="Z162" s="18" t="str">
        <f aca="false">IFERROR(IF(Y162&gt;=80,"🔥 HOT",IF(Y162&gt;=60,"✅ STRONG",IF(Y162&gt;=40,"⚡ WARM",IF(Y162&gt;=20,"📋 NURTURE",IF(Y162&gt;0,"❌ COLD",""))))),"")</f>
        <v/>
      </c>
      <c r="AA162" s="18" t="str">
        <f aca="false">IFERROR(IF(AND(Y162&gt;=60,OR(U162="Yes",U162="Later")),"🚨 URGENT",IF(AND(Y162&gt;=40,I162="Call Back"),"📞 CALL BACK",IF(I162="Booked Meeting","📅 BOOKED",IF(I162="Not Interested","🚫 DEAD","⏳ WORKING")))),"")</f>
        <v>⏳ WORKING</v>
      </c>
      <c r="AB162" s="21"/>
      <c r="AC162" s="22"/>
      <c r="AD162" s="23" t="str">
        <f aca="true">IFERROR(IF(AC162="","",AC162-TODAY()),"")</f>
        <v/>
      </c>
      <c r="AE162" s="17"/>
    </row>
    <row r="163" customFormat="false" ht="19.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1"/>
      <c r="I163" s="10"/>
      <c r="J163" s="10"/>
      <c r="K163" s="11"/>
      <c r="L163" s="10"/>
      <c r="M163" s="10"/>
      <c r="N163" s="10"/>
      <c r="O163" s="10"/>
      <c r="P163" s="10"/>
      <c r="Q163" s="10"/>
      <c r="R163" s="10"/>
      <c r="S163" s="10"/>
      <c r="T163" s="12" t="n">
        <f aca="false">IFERROR(ROUND((IF(O163="Severe",4,IF(O163="Moderate",3,IF(O163="Minor",2,0)))+IF(P163="Severe",4,IF(P163="Moderate",3,IF(P163="Minor",2,0)))+IF(Q163="Severe",4,IF(Q163="Moderate",3,IF(Q163="Minor",2,0)))+IF(R163="Severe",4,IF(R163="Moderate",3,IF(R163="Minor",2,0))))/16*100,0),"")</f>
        <v>0</v>
      </c>
      <c r="U163" s="11"/>
      <c r="V163" s="10"/>
      <c r="W163" s="10"/>
      <c r="X163" s="10"/>
      <c r="Y163" s="13" t="n">
        <f aca="false">IFERROR(ROUND(IF(H163&gt;=10,30,IF(H163&gt;=5,20,IF(H163&gt;=2,10,0)))+IF(K163="Yes",20,IF(K163="Unsure",10,0))+IF(U163="Yes",30,IF(U163="Later",15,0))+IFERROR(T163/100*20,0),0),"")</f>
        <v>0</v>
      </c>
      <c r="Z163" s="11" t="str">
        <f aca="false">IFERROR(IF(Y163&gt;=80,"🔥 HOT",IF(Y163&gt;=60,"✅ STRONG",IF(Y163&gt;=40,"⚡ WARM",IF(Y163&gt;=20,"📋 NURTURE",IF(Y163&gt;0,"❌ COLD",""))))),"")</f>
        <v/>
      </c>
      <c r="AA163" s="11" t="str">
        <f aca="false">IFERROR(IF(AND(Y163&gt;=60,OR(U163="Yes",U163="Later")),"🚨 URGENT",IF(AND(Y163&gt;=40,I163="Call Back"),"📞 CALL BACK",IF(I163="Booked Meeting","📅 BOOKED",IF(I163="Not Interested","🚫 DEAD","⏳ WORKING")))),"")</f>
        <v>⏳ WORKING</v>
      </c>
      <c r="AB163" s="14"/>
      <c r="AC163" s="15"/>
      <c r="AD163" s="16" t="str">
        <f aca="true">IFERROR(IF(AC163="","",AC163-TODAY()),"")</f>
        <v/>
      </c>
      <c r="AE163" s="10"/>
    </row>
    <row r="164" customFormat="false" ht="19.5" hidden="false" customHeight="true" outlineLevel="0" collapsed="false">
      <c r="A164" s="17"/>
      <c r="B164" s="17"/>
      <c r="C164" s="17"/>
      <c r="D164" s="17"/>
      <c r="E164" s="17"/>
      <c r="F164" s="17"/>
      <c r="G164" s="17"/>
      <c r="H164" s="18"/>
      <c r="I164" s="17"/>
      <c r="J164" s="17"/>
      <c r="K164" s="18"/>
      <c r="L164" s="17"/>
      <c r="M164" s="17"/>
      <c r="N164" s="17"/>
      <c r="O164" s="17"/>
      <c r="P164" s="17"/>
      <c r="Q164" s="17"/>
      <c r="R164" s="17"/>
      <c r="S164" s="17"/>
      <c r="T164" s="19" t="n">
        <f aca="false">IFERROR(ROUND((IF(O164="Severe",4,IF(O164="Moderate",3,IF(O164="Minor",2,0)))+IF(P164="Severe",4,IF(P164="Moderate",3,IF(P164="Minor",2,0)))+IF(Q164="Severe",4,IF(Q164="Moderate",3,IF(Q164="Minor",2,0)))+IF(R164="Severe",4,IF(R164="Moderate",3,IF(R164="Minor",2,0))))/16*100,0),"")</f>
        <v>0</v>
      </c>
      <c r="U164" s="18"/>
      <c r="V164" s="17"/>
      <c r="W164" s="17"/>
      <c r="X164" s="17"/>
      <c r="Y164" s="20" t="n">
        <f aca="false">IFERROR(ROUND(IF(H164&gt;=10,30,IF(H164&gt;=5,20,IF(H164&gt;=2,10,0)))+IF(K164="Yes",20,IF(K164="Unsure",10,0))+IF(U164="Yes",30,IF(U164="Later",15,0))+IFERROR(T164/100*20,0),0),"")</f>
        <v>0</v>
      </c>
      <c r="Z164" s="18" t="str">
        <f aca="false">IFERROR(IF(Y164&gt;=80,"🔥 HOT",IF(Y164&gt;=60,"✅ STRONG",IF(Y164&gt;=40,"⚡ WARM",IF(Y164&gt;=20,"📋 NURTURE",IF(Y164&gt;0,"❌ COLD",""))))),"")</f>
        <v/>
      </c>
      <c r="AA164" s="18" t="str">
        <f aca="false">IFERROR(IF(AND(Y164&gt;=60,OR(U164="Yes",U164="Later")),"🚨 URGENT",IF(AND(Y164&gt;=40,I164="Call Back"),"📞 CALL BACK",IF(I164="Booked Meeting","📅 BOOKED",IF(I164="Not Interested","🚫 DEAD","⏳ WORKING")))),"")</f>
        <v>⏳ WORKING</v>
      </c>
      <c r="AB164" s="21"/>
      <c r="AC164" s="22"/>
      <c r="AD164" s="23" t="str">
        <f aca="true">IFERROR(IF(AC164="","",AC164-TODAY()),"")</f>
        <v/>
      </c>
      <c r="AE164" s="17"/>
    </row>
    <row r="165" customFormat="false" ht="19.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1"/>
      <c r="I165" s="10"/>
      <c r="J165" s="10"/>
      <c r="K165" s="11"/>
      <c r="L165" s="10"/>
      <c r="M165" s="10"/>
      <c r="N165" s="10"/>
      <c r="O165" s="10"/>
      <c r="P165" s="10"/>
      <c r="Q165" s="10"/>
      <c r="R165" s="10"/>
      <c r="S165" s="10"/>
      <c r="T165" s="12" t="n">
        <f aca="false">IFERROR(ROUND((IF(O165="Severe",4,IF(O165="Moderate",3,IF(O165="Minor",2,0)))+IF(P165="Severe",4,IF(P165="Moderate",3,IF(P165="Minor",2,0)))+IF(Q165="Severe",4,IF(Q165="Moderate",3,IF(Q165="Minor",2,0)))+IF(R165="Severe",4,IF(R165="Moderate",3,IF(R165="Minor",2,0))))/16*100,0),"")</f>
        <v>0</v>
      </c>
      <c r="U165" s="11"/>
      <c r="V165" s="10"/>
      <c r="W165" s="10"/>
      <c r="X165" s="10"/>
      <c r="Y165" s="13" t="n">
        <f aca="false">IFERROR(ROUND(IF(H165&gt;=10,30,IF(H165&gt;=5,20,IF(H165&gt;=2,10,0)))+IF(K165="Yes",20,IF(K165="Unsure",10,0))+IF(U165="Yes",30,IF(U165="Later",15,0))+IFERROR(T165/100*20,0),0),"")</f>
        <v>0</v>
      </c>
      <c r="Z165" s="11" t="str">
        <f aca="false">IFERROR(IF(Y165&gt;=80,"🔥 HOT",IF(Y165&gt;=60,"✅ STRONG",IF(Y165&gt;=40,"⚡ WARM",IF(Y165&gt;=20,"📋 NURTURE",IF(Y165&gt;0,"❌ COLD",""))))),"")</f>
        <v/>
      </c>
      <c r="AA165" s="11" t="str">
        <f aca="false">IFERROR(IF(AND(Y165&gt;=60,OR(U165="Yes",U165="Later")),"🚨 URGENT",IF(AND(Y165&gt;=40,I165="Call Back"),"📞 CALL BACK",IF(I165="Booked Meeting","📅 BOOKED",IF(I165="Not Interested","🚫 DEAD","⏳ WORKING")))),"")</f>
        <v>⏳ WORKING</v>
      </c>
      <c r="AB165" s="14"/>
      <c r="AC165" s="15"/>
      <c r="AD165" s="16" t="str">
        <f aca="true">IFERROR(IF(AC165="","",AC165-TODAY()),"")</f>
        <v/>
      </c>
      <c r="AE165" s="10"/>
    </row>
    <row r="166" customFormat="false" ht="19.5" hidden="false" customHeight="true" outlineLevel="0" collapsed="false">
      <c r="A166" s="17"/>
      <c r="B166" s="17"/>
      <c r="C166" s="17"/>
      <c r="D166" s="17"/>
      <c r="E166" s="17"/>
      <c r="F166" s="17"/>
      <c r="G166" s="17"/>
      <c r="H166" s="18"/>
      <c r="I166" s="17"/>
      <c r="J166" s="17"/>
      <c r="K166" s="18"/>
      <c r="L166" s="17"/>
      <c r="M166" s="17"/>
      <c r="N166" s="17"/>
      <c r="O166" s="17"/>
      <c r="P166" s="17"/>
      <c r="Q166" s="17"/>
      <c r="R166" s="17"/>
      <c r="S166" s="17"/>
      <c r="T166" s="19" t="n">
        <f aca="false">IFERROR(ROUND((IF(O166="Severe",4,IF(O166="Moderate",3,IF(O166="Minor",2,0)))+IF(P166="Severe",4,IF(P166="Moderate",3,IF(P166="Minor",2,0)))+IF(Q166="Severe",4,IF(Q166="Moderate",3,IF(Q166="Minor",2,0)))+IF(R166="Severe",4,IF(R166="Moderate",3,IF(R166="Minor",2,0))))/16*100,0),"")</f>
        <v>0</v>
      </c>
      <c r="U166" s="18"/>
      <c r="V166" s="17"/>
      <c r="W166" s="17"/>
      <c r="X166" s="17"/>
      <c r="Y166" s="20" t="n">
        <f aca="false">IFERROR(ROUND(IF(H166&gt;=10,30,IF(H166&gt;=5,20,IF(H166&gt;=2,10,0)))+IF(K166="Yes",20,IF(K166="Unsure",10,0))+IF(U166="Yes",30,IF(U166="Later",15,0))+IFERROR(T166/100*20,0),0),"")</f>
        <v>0</v>
      </c>
      <c r="Z166" s="18" t="str">
        <f aca="false">IFERROR(IF(Y166&gt;=80,"🔥 HOT",IF(Y166&gt;=60,"✅ STRONG",IF(Y166&gt;=40,"⚡ WARM",IF(Y166&gt;=20,"📋 NURTURE",IF(Y166&gt;0,"❌ COLD",""))))),"")</f>
        <v/>
      </c>
      <c r="AA166" s="18" t="str">
        <f aca="false">IFERROR(IF(AND(Y166&gt;=60,OR(U166="Yes",U166="Later")),"🚨 URGENT",IF(AND(Y166&gt;=40,I166="Call Back"),"📞 CALL BACK",IF(I166="Booked Meeting","📅 BOOKED",IF(I166="Not Interested","🚫 DEAD","⏳ WORKING")))),"")</f>
        <v>⏳ WORKING</v>
      </c>
      <c r="AB166" s="21"/>
      <c r="AC166" s="22"/>
      <c r="AD166" s="23" t="str">
        <f aca="true">IFERROR(IF(AC166="","",AC166-TODAY()),"")</f>
        <v/>
      </c>
      <c r="AE166" s="17"/>
    </row>
    <row r="167" customFormat="false" ht="19.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1"/>
      <c r="I167" s="10"/>
      <c r="J167" s="10"/>
      <c r="K167" s="11"/>
      <c r="L167" s="10"/>
      <c r="M167" s="10"/>
      <c r="N167" s="10"/>
      <c r="O167" s="10"/>
      <c r="P167" s="10"/>
      <c r="Q167" s="10"/>
      <c r="R167" s="10"/>
      <c r="S167" s="10"/>
      <c r="T167" s="12" t="n">
        <f aca="false">IFERROR(ROUND((IF(O167="Severe",4,IF(O167="Moderate",3,IF(O167="Minor",2,0)))+IF(P167="Severe",4,IF(P167="Moderate",3,IF(P167="Minor",2,0)))+IF(Q167="Severe",4,IF(Q167="Moderate",3,IF(Q167="Minor",2,0)))+IF(R167="Severe",4,IF(R167="Moderate",3,IF(R167="Minor",2,0))))/16*100,0),"")</f>
        <v>0</v>
      </c>
      <c r="U167" s="11"/>
      <c r="V167" s="10"/>
      <c r="W167" s="10"/>
      <c r="X167" s="10"/>
      <c r="Y167" s="13" t="n">
        <f aca="false">IFERROR(ROUND(IF(H167&gt;=10,30,IF(H167&gt;=5,20,IF(H167&gt;=2,10,0)))+IF(K167="Yes",20,IF(K167="Unsure",10,0))+IF(U167="Yes",30,IF(U167="Later",15,0))+IFERROR(T167/100*20,0),0),"")</f>
        <v>0</v>
      </c>
      <c r="Z167" s="11" t="str">
        <f aca="false">IFERROR(IF(Y167&gt;=80,"🔥 HOT",IF(Y167&gt;=60,"✅ STRONG",IF(Y167&gt;=40,"⚡ WARM",IF(Y167&gt;=20,"📋 NURTURE",IF(Y167&gt;0,"❌ COLD",""))))),"")</f>
        <v/>
      </c>
      <c r="AA167" s="11" t="str">
        <f aca="false">IFERROR(IF(AND(Y167&gt;=60,OR(U167="Yes",U167="Later")),"🚨 URGENT",IF(AND(Y167&gt;=40,I167="Call Back"),"📞 CALL BACK",IF(I167="Booked Meeting","📅 BOOKED",IF(I167="Not Interested","🚫 DEAD","⏳ WORKING")))),"")</f>
        <v>⏳ WORKING</v>
      </c>
      <c r="AB167" s="14"/>
      <c r="AC167" s="15"/>
      <c r="AD167" s="16" t="str">
        <f aca="true">IFERROR(IF(AC167="","",AC167-TODAY()),"")</f>
        <v/>
      </c>
      <c r="AE167" s="10"/>
    </row>
    <row r="168" customFormat="false" ht="19.5" hidden="false" customHeight="true" outlineLevel="0" collapsed="false">
      <c r="A168" s="17"/>
      <c r="B168" s="17"/>
      <c r="C168" s="17"/>
      <c r="D168" s="17"/>
      <c r="E168" s="17"/>
      <c r="F168" s="17"/>
      <c r="G168" s="17"/>
      <c r="H168" s="18"/>
      <c r="I168" s="17"/>
      <c r="J168" s="17"/>
      <c r="K168" s="18"/>
      <c r="L168" s="17"/>
      <c r="M168" s="17"/>
      <c r="N168" s="17"/>
      <c r="O168" s="17"/>
      <c r="P168" s="17"/>
      <c r="Q168" s="17"/>
      <c r="R168" s="17"/>
      <c r="S168" s="17"/>
      <c r="T168" s="19" t="n">
        <f aca="false">IFERROR(ROUND((IF(O168="Severe",4,IF(O168="Moderate",3,IF(O168="Minor",2,0)))+IF(P168="Severe",4,IF(P168="Moderate",3,IF(P168="Minor",2,0)))+IF(Q168="Severe",4,IF(Q168="Moderate",3,IF(Q168="Minor",2,0)))+IF(R168="Severe",4,IF(R168="Moderate",3,IF(R168="Minor",2,0))))/16*100,0),"")</f>
        <v>0</v>
      </c>
      <c r="U168" s="18"/>
      <c r="V168" s="17"/>
      <c r="W168" s="17"/>
      <c r="X168" s="17"/>
      <c r="Y168" s="20" t="n">
        <f aca="false">IFERROR(ROUND(IF(H168&gt;=10,30,IF(H168&gt;=5,20,IF(H168&gt;=2,10,0)))+IF(K168="Yes",20,IF(K168="Unsure",10,0))+IF(U168="Yes",30,IF(U168="Later",15,0))+IFERROR(T168/100*20,0),0),"")</f>
        <v>0</v>
      </c>
      <c r="Z168" s="18" t="str">
        <f aca="false">IFERROR(IF(Y168&gt;=80,"🔥 HOT",IF(Y168&gt;=60,"✅ STRONG",IF(Y168&gt;=40,"⚡ WARM",IF(Y168&gt;=20,"📋 NURTURE",IF(Y168&gt;0,"❌ COLD",""))))),"")</f>
        <v/>
      </c>
      <c r="AA168" s="18" t="str">
        <f aca="false">IFERROR(IF(AND(Y168&gt;=60,OR(U168="Yes",U168="Later")),"🚨 URGENT",IF(AND(Y168&gt;=40,I168="Call Back"),"📞 CALL BACK",IF(I168="Booked Meeting","📅 BOOKED",IF(I168="Not Interested","🚫 DEAD","⏳ WORKING")))),"")</f>
        <v>⏳ WORKING</v>
      </c>
      <c r="AB168" s="21"/>
      <c r="AC168" s="22"/>
      <c r="AD168" s="23" t="str">
        <f aca="true">IFERROR(IF(AC168="","",AC168-TODAY()),"")</f>
        <v/>
      </c>
      <c r="AE168" s="17"/>
    </row>
    <row r="169" customFormat="false" ht="19.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1"/>
      <c r="I169" s="10"/>
      <c r="J169" s="10"/>
      <c r="K169" s="11"/>
      <c r="L169" s="10"/>
      <c r="M169" s="10"/>
      <c r="N169" s="10"/>
      <c r="O169" s="10"/>
      <c r="P169" s="10"/>
      <c r="Q169" s="10"/>
      <c r="R169" s="10"/>
      <c r="S169" s="10"/>
      <c r="T169" s="12" t="n">
        <f aca="false">IFERROR(ROUND((IF(O169="Severe",4,IF(O169="Moderate",3,IF(O169="Minor",2,0)))+IF(P169="Severe",4,IF(P169="Moderate",3,IF(P169="Minor",2,0)))+IF(Q169="Severe",4,IF(Q169="Moderate",3,IF(Q169="Minor",2,0)))+IF(R169="Severe",4,IF(R169="Moderate",3,IF(R169="Minor",2,0))))/16*100,0),"")</f>
        <v>0</v>
      </c>
      <c r="U169" s="11"/>
      <c r="V169" s="10"/>
      <c r="W169" s="10"/>
      <c r="X169" s="10"/>
      <c r="Y169" s="13" t="n">
        <f aca="false">IFERROR(ROUND(IF(H169&gt;=10,30,IF(H169&gt;=5,20,IF(H169&gt;=2,10,0)))+IF(K169="Yes",20,IF(K169="Unsure",10,0))+IF(U169="Yes",30,IF(U169="Later",15,0))+IFERROR(T169/100*20,0),0),"")</f>
        <v>0</v>
      </c>
      <c r="Z169" s="11" t="str">
        <f aca="false">IFERROR(IF(Y169&gt;=80,"🔥 HOT",IF(Y169&gt;=60,"✅ STRONG",IF(Y169&gt;=40,"⚡ WARM",IF(Y169&gt;=20,"📋 NURTURE",IF(Y169&gt;0,"❌ COLD",""))))),"")</f>
        <v/>
      </c>
      <c r="AA169" s="11" t="str">
        <f aca="false">IFERROR(IF(AND(Y169&gt;=60,OR(U169="Yes",U169="Later")),"🚨 URGENT",IF(AND(Y169&gt;=40,I169="Call Back"),"📞 CALL BACK",IF(I169="Booked Meeting","📅 BOOKED",IF(I169="Not Interested","🚫 DEAD","⏳ WORKING")))),"")</f>
        <v>⏳ WORKING</v>
      </c>
      <c r="AB169" s="14"/>
      <c r="AC169" s="15"/>
      <c r="AD169" s="16" t="str">
        <f aca="true">IFERROR(IF(AC169="","",AC169-TODAY()),"")</f>
        <v/>
      </c>
      <c r="AE169" s="10"/>
    </row>
    <row r="170" customFormat="false" ht="19.5" hidden="false" customHeight="true" outlineLevel="0" collapsed="false">
      <c r="A170" s="17"/>
      <c r="B170" s="17"/>
      <c r="C170" s="17"/>
      <c r="D170" s="17"/>
      <c r="E170" s="17"/>
      <c r="F170" s="17"/>
      <c r="G170" s="17"/>
      <c r="H170" s="18"/>
      <c r="I170" s="17"/>
      <c r="J170" s="17"/>
      <c r="K170" s="18"/>
      <c r="L170" s="17"/>
      <c r="M170" s="17"/>
      <c r="N170" s="17"/>
      <c r="O170" s="17"/>
      <c r="P170" s="17"/>
      <c r="Q170" s="17"/>
      <c r="R170" s="17"/>
      <c r="S170" s="17"/>
      <c r="T170" s="19" t="n">
        <f aca="false">IFERROR(ROUND((IF(O170="Severe",4,IF(O170="Moderate",3,IF(O170="Minor",2,0)))+IF(P170="Severe",4,IF(P170="Moderate",3,IF(P170="Minor",2,0)))+IF(Q170="Severe",4,IF(Q170="Moderate",3,IF(Q170="Minor",2,0)))+IF(R170="Severe",4,IF(R170="Moderate",3,IF(R170="Minor",2,0))))/16*100,0),"")</f>
        <v>0</v>
      </c>
      <c r="U170" s="18"/>
      <c r="V170" s="17"/>
      <c r="W170" s="17"/>
      <c r="X170" s="17"/>
      <c r="Y170" s="20" t="n">
        <f aca="false">IFERROR(ROUND(IF(H170&gt;=10,30,IF(H170&gt;=5,20,IF(H170&gt;=2,10,0)))+IF(K170="Yes",20,IF(K170="Unsure",10,0))+IF(U170="Yes",30,IF(U170="Later",15,0))+IFERROR(T170/100*20,0),0),"")</f>
        <v>0</v>
      </c>
      <c r="Z170" s="18" t="str">
        <f aca="false">IFERROR(IF(Y170&gt;=80,"🔥 HOT",IF(Y170&gt;=60,"✅ STRONG",IF(Y170&gt;=40,"⚡ WARM",IF(Y170&gt;=20,"📋 NURTURE",IF(Y170&gt;0,"❌ COLD",""))))),"")</f>
        <v/>
      </c>
      <c r="AA170" s="18" t="str">
        <f aca="false">IFERROR(IF(AND(Y170&gt;=60,OR(U170="Yes",U170="Later")),"🚨 URGENT",IF(AND(Y170&gt;=40,I170="Call Back"),"📞 CALL BACK",IF(I170="Booked Meeting","📅 BOOKED",IF(I170="Not Interested","🚫 DEAD","⏳ WORKING")))),"")</f>
        <v>⏳ WORKING</v>
      </c>
      <c r="AB170" s="21"/>
      <c r="AC170" s="22"/>
      <c r="AD170" s="23" t="str">
        <f aca="true">IFERROR(IF(AC170="","",AC170-TODAY()),"")</f>
        <v/>
      </c>
      <c r="AE170" s="17"/>
    </row>
    <row r="171" customFormat="false" ht="19.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1"/>
      <c r="I171" s="10"/>
      <c r="J171" s="10"/>
      <c r="K171" s="11"/>
      <c r="L171" s="10"/>
      <c r="M171" s="10"/>
      <c r="N171" s="10"/>
      <c r="O171" s="10"/>
      <c r="P171" s="10"/>
      <c r="Q171" s="10"/>
      <c r="R171" s="10"/>
      <c r="S171" s="10"/>
      <c r="T171" s="12" t="n">
        <f aca="false">IFERROR(ROUND((IF(O171="Severe",4,IF(O171="Moderate",3,IF(O171="Minor",2,0)))+IF(P171="Severe",4,IF(P171="Moderate",3,IF(P171="Minor",2,0)))+IF(Q171="Severe",4,IF(Q171="Moderate",3,IF(Q171="Minor",2,0)))+IF(R171="Severe",4,IF(R171="Moderate",3,IF(R171="Minor",2,0))))/16*100,0),"")</f>
        <v>0</v>
      </c>
      <c r="U171" s="11"/>
      <c r="V171" s="10"/>
      <c r="W171" s="10"/>
      <c r="X171" s="10"/>
      <c r="Y171" s="13" t="n">
        <f aca="false">IFERROR(ROUND(IF(H171&gt;=10,30,IF(H171&gt;=5,20,IF(H171&gt;=2,10,0)))+IF(K171="Yes",20,IF(K171="Unsure",10,0))+IF(U171="Yes",30,IF(U171="Later",15,0))+IFERROR(T171/100*20,0),0),"")</f>
        <v>0</v>
      </c>
      <c r="Z171" s="11" t="str">
        <f aca="false">IFERROR(IF(Y171&gt;=80,"🔥 HOT",IF(Y171&gt;=60,"✅ STRONG",IF(Y171&gt;=40,"⚡ WARM",IF(Y171&gt;=20,"📋 NURTURE",IF(Y171&gt;0,"❌ COLD",""))))),"")</f>
        <v/>
      </c>
      <c r="AA171" s="11" t="str">
        <f aca="false">IFERROR(IF(AND(Y171&gt;=60,OR(U171="Yes",U171="Later")),"🚨 URGENT",IF(AND(Y171&gt;=40,I171="Call Back"),"📞 CALL BACK",IF(I171="Booked Meeting","📅 BOOKED",IF(I171="Not Interested","🚫 DEAD","⏳ WORKING")))),"")</f>
        <v>⏳ WORKING</v>
      </c>
      <c r="AB171" s="14"/>
      <c r="AC171" s="15"/>
      <c r="AD171" s="16" t="str">
        <f aca="true">IFERROR(IF(AC171="","",AC171-TODAY()),"")</f>
        <v/>
      </c>
      <c r="AE171" s="10"/>
    </row>
    <row r="172" customFormat="false" ht="19.5" hidden="false" customHeight="true" outlineLevel="0" collapsed="false">
      <c r="A172" s="17"/>
      <c r="B172" s="17"/>
      <c r="C172" s="17"/>
      <c r="D172" s="17"/>
      <c r="E172" s="17"/>
      <c r="F172" s="17"/>
      <c r="G172" s="17"/>
      <c r="H172" s="18"/>
      <c r="I172" s="17"/>
      <c r="J172" s="17"/>
      <c r="K172" s="18"/>
      <c r="L172" s="17"/>
      <c r="M172" s="17"/>
      <c r="N172" s="17"/>
      <c r="O172" s="17"/>
      <c r="P172" s="17"/>
      <c r="Q172" s="17"/>
      <c r="R172" s="17"/>
      <c r="S172" s="17"/>
      <c r="T172" s="19" t="n">
        <f aca="false">IFERROR(ROUND((IF(O172="Severe",4,IF(O172="Moderate",3,IF(O172="Minor",2,0)))+IF(P172="Severe",4,IF(P172="Moderate",3,IF(P172="Minor",2,0)))+IF(Q172="Severe",4,IF(Q172="Moderate",3,IF(Q172="Minor",2,0)))+IF(R172="Severe",4,IF(R172="Moderate",3,IF(R172="Minor",2,0))))/16*100,0),"")</f>
        <v>0</v>
      </c>
      <c r="U172" s="18"/>
      <c r="V172" s="17"/>
      <c r="W172" s="17"/>
      <c r="X172" s="17"/>
      <c r="Y172" s="20" t="n">
        <f aca="false">IFERROR(ROUND(IF(H172&gt;=10,30,IF(H172&gt;=5,20,IF(H172&gt;=2,10,0)))+IF(K172="Yes",20,IF(K172="Unsure",10,0))+IF(U172="Yes",30,IF(U172="Later",15,0))+IFERROR(T172/100*20,0),0),"")</f>
        <v>0</v>
      </c>
      <c r="Z172" s="18" t="str">
        <f aca="false">IFERROR(IF(Y172&gt;=80,"🔥 HOT",IF(Y172&gt;=60,"✅ STRONG",IF(Y172&gt;=40,"⚡ WARM",IF(Y172&gt;=20,"📋 NURTURE",IF(Y172&gt;0,"❌ COLD",""))))),"")</f>
        <v/>
      </c>
      <c r="AA172" s="18" t="str">
        <f aca="false">IFERROR(IF(AND(Y172&gt;=60,OR(U172="Yes",U172="Later")),"🚨 URGENT",IF(AND(Y172&gt;=40,I172="Call Back"),"📞 CALL BACK",IF(I172="Booked Meeting","📅 BOOKED",IF(I172="Not Interested","🚫 DEAD","⏳ WORKING")))),"")</f>
        <v>⏳ WORKING</v>
      </c>
      <c r="AB172" s="21"/>
      <c r="AC172" s="22"/>
      <c r="AD172" s="23" t="str">
        <f aca="true">IFERROR(IF(AC172="","",AC172-TODAY()),"")</f>
        <v/>
      </c>
      <c r="AE172" s="17"/>
    </row>
    <row r="173" customFormat="false" ht="19.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1"/>
      <c r="I173" s="10"/>
      <c r="J173" s="10"/>
      <c r="K173" s="11"/>
      <c r="L173" s="10"/>
      <c r="M173" s="10"/>
      <c r="N173" s="10"/>
      <c r="O173" s="10"/>
      <c r="P173" s="10"/>
      <c r="Q173" s="10"/>
      <c r="R173" s="10"/>
      <c r="S173" s="10"/>
      <c r="T173" s="12" t="n">
        <f aca="false">IFERROR(ROUND((IF(O173="Severe",4,IF(O173="Moderate",3,IF(O173="Minor",2,0)))+IF(P173="Severe",4,IF(P173="Moderate",3,IF(P173="Minor",2,0)))+IF(Q173="Severe",4,IF(Q173="Moderate",3,IF(Q173="Minor",2,0)))+IF(R173="Severe",4,IF(R173="Moderate",3,IF(R173="Minor",2,0))))/16*100,0),"")</f>
        <v>0</v>
      </c>
      <c r="U173" s="11"/>
      <c r="V173" s="10"/>
      <c r="W173" s="10"/>
      <c r="X173" s="10"/>
      <c r="Y173" s="13" t="n">
        <f aca="false">IFERROR(ROUND(IF(H173&gt;=10,30,IF(H173&gt;=5,20,IF(H173&gt;=2,10,0)))+IF(K173="Yes",20,IF(K173="Unsure",10,0))+IF(U173="Yes",30,IF(U173="Later",15,0))+IFERROR(T173/100*20,0),0),"")</f>
        <v>0</v>
      </c>
      <c r="Z173" s="11" t="str">
        <f aca="false">IFERROR(IF(Y173&gt;=80,"🔥 HOT",IF(Y173&gt;=60,"✅ STRONG",IF(Y173&gt;=40,"⚡ WARM",IF(Y173&gt;=20,"📋 NURTURE",IF(Y173&gt;0,"❌ COLD",""))))),"")</f>
        <v/>
      </c>
      <c r="AA173" s="11" t="str">
        <f aca="false">IFERROR(IF(AND(Y173&gt;=60,OR(U173="Yes",U173="Later")),"🚨 URGENT",IF(AND(Y173&gt;=40,I173="Call Back"),"📞 CALL BACK",IF(I173="Booked Meeting","📅 BOOKED",IF(I173="Not Interested","🚫 DEAD","⏳ WORKING")))),"")</f>
        <v>⏳ WORKING</v>
      </c>
      <c r="AB173" s="14"/>
      <c r="AC173" s="15"/>
      <c r="AD173" s="16" t="str">
        <f aca="true">IFERROR(IF(AC173="","",AC173-TODAY()),"")</f>
        <v/>
      </c>
      <c r="AE173" s="10"/>
    </row>
    <row r="174" customFormat="false" ht="19.5" hidden="false" customHeight="true" outlineLevel="0" collapsed="false">
      <c r="A174" s="17"/>
      <c r="B174" s="17"/>
      <c r="C174" s="17"/>
      <c r="D174" s="17"/>
      <c r="E174" s="17"/>
      <c r="F174" s="17"/>
      <c r="G174" s="17"/>
      <c r="H174" s="18"/>
      <c r="I174" s="17"/>
      <c r="J174" s="17"/>
      <c r="K174" s="18"/>
      <c r="L174" s="17"/>
      <c r="M174" s="17"/>
      <c r="N174" s="17"/>
      <c r="O174" s="17"/>
      <c r="P174" s="17"/>
      <c r="Q174" s="17"/>
      <c r="R174" s="17"/>
      <c r="S174" s="17"/>
      <c r="T174" s="19" t="n">
        <f aca="false">IFERROR(ROUND((IF(O174="Severe",4,IF(O174="Moderate",3,IF(O174="Minor",2,0)))+IF(P174="Severe",4,IF(P174="Moderate",3,IF(P174="Minor",2,0)))+IF(Q174="Severe",4,IF(Q174="Moderate",3,IF(Q174="Minor",2,0)))+IF(R174="Severe",4,IF(R174="Moderate",3,IF(R174="Minor",2,0))))/16*100,0),"")</f>
        <v>0</v>
      </c>
      <c r="U174" s="18"/>
      <c r="V174" s="17"/>
      <c r="W174" s="17"/>
      <c r="X174" s="17"/>
      <c r="Y174" s="20" t="n">
        <f aca="false">IFERROR(ROUND(IF(H174&gt;=10,30,IF(H174&gt;=5,20,IF(H174&gt;=2,10,0)))+IF(K174="Yes",20,IF(K174="Unsure",10,0))+IF(U174="Yes",30,IF(U174="Later",15,0))+IFERROR(T174/100*20,0),0),"")</f>
        <v>0</v>
      </c>
      <c r="Z174" s="18" t="str">
        <f aca="false">IFERROR(IF(Y174&gt;=80,"🔥 HOT",IF(Y174&gt;=60,"✅ STRONG",IF(Y174&gt;=40,"⚡ WARM",IF(Y174&gt;=20,"📋 NURTURE",IF(Y174&gt;0,"❌ COLD",""))))),"")</f>
        <v/>
      </c>
      <c r="AA174" s="18" t="str">
        <f aca="false">IFERROR(IF(AND(Y174&gt;=60,OR(U174="Yes",U174="Later")),"🚨 URGENT",IF(AND(Y174&gt;=40,I174="Call Back"),"📞 CALL BACK",IF(I174="Booked Meeting","📅 BOOKED",IF(I174="Not Interested","🚫 DEAD","⏳ WORKING")))),"")</f>
        <v>⏳ WORKING</v>
      </c>
      <c r="AB174" s="21"/>
      <c r="AC174" s="22"/>
      <c r="AD174" s="23" t="str">
        <f aca="true">IFERROR(IF(AC174="","",AC174-TODAY()),"")</f>
        <v/>
      </c>
      <c r="AE174" s="17"/>
    </row>
    <row r="175" customFormat="false" ht="19.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1"/>
      <c r="I175" s="10"/>
      <c r="J175" s="10"/>
      <c r="K175" s="11"/>
      <c r="L175" s="10"/>
      <c r="M175" s="10"/>
      <c r="N175" s="10"/>
      <c r="O175" s="10"/>
      <c r="P175" s="10"/>
      <c r="Q175" s="10"/>
      <c r="R175" s="10"/>
      <c r="S175" s="10"/>
      <c r="T175" s="12" t="n">
        <f aca="false">IFERROR(ROUND((IF(O175="Severe",4,IF(O175="Moderate",3,IF(O175="Minor",2,0)))+IF(P175="Severe",4,IF(P175="Moderate",3,IF(P175="Minor",2,0)))+IF(Q175="Severe",4,IF(Q175="Moderate",3,IF(Q175="Minor",2,0)))+IF(R175="Severe",4,IF(R175="Moderate",3,IF(R175="Minor",2,0))))/16*100,0),"")</f>
        <v>0</v>
      </c>
      <c r="U175" s="11"/>
      <c r="V175" s="10"/>
      <c r="W175" s="10"/>
      <c r="X175" s="10"/>
      <c r="Y175" s="13" t="n">
        <f aca="false">IFERROR(ROUND(IF(H175&gt;=10,30,IF(H175&gt;=5,20,IF(H175&gt;=2,10,0)))+IF(K175="Yes",20,IF(K175="Unsure",10,0))+IF(U175="Yes",30,IF(U175="Later",15,0))+IFERROR(T175/100*20,0),0),"")</f>
        <v>0</v>
      </c>
      <c r="Z175" s="11" t="str">
        <f aca="false">IFERROR(IF(Y175&gt;=80,"🔥 HOT",IF(Y175&gt;=60,"✅ STRONG",IF(Y175&gt;=40,"⚡ WARM",IF(Y175&gt;=20,"📋 NURTURE",IF(Y175&gt;0,"❌ COLD",""))))),"")</f>
        <v/>
      </c>
      <c r="AA175" s="11" t="str">
        <f aca="false">IFERROR(IF(AND(Y175&gt;=60,OR(U175="Yes",U175="Later")),"🚨 URGENT",IF(AND(Y175&gt;=40,I175="Call Back"),"📞 CALL BACK",IF(I175="Booked Meeting","📅 BOOKED",IF(I175="Not Interested","🚫 DEAD","⏳ WORKING")))),"")</f>
        <v>⏳ WORKING</v>
      </c>
      <c r="AB175" s="14"/>
      <c r="AC175" s="15"/>
      <c r="AD175" s="16" t="str">
        <f aca="true">IFERROR(IF(AC175="","",AC175-TODAY()),"")</f>
        <v/>
      </c>
      <c r="AE175" s="10"/>
    </row>
    <row r="176" customFormat="false" ht="19.5" hidden="false" customHeight="true" outlineLevel="0" collapsed="false">
      <c r="A176" s="17"/>
      <c r="B176" s="17"/>
      <c r="C176" s="17"/>
      <c r="D176" s="17"/>
      <c r="E176" s="17"/>
      <c r="F176" s="17"/>
      <c r="G176" s="17"/>
      <c r="H176" s="18"/>
      <c r="I176" s="17"/>
      <c r="J176" s="17"/>
      <c r="K176" s="18"/>
      <c r="L176" s="17"/>
      <c r="M176" s="17"/>
      <c r="N176" s="17"/>
      <c r="O176" s="17"/>
      <c r="P176" s="17"/>
      <c r="Q176" s="17"/>
      <c r="R176" s="17"/>
      <c r="S176" s="17"/>
      <c r="T176" s="19" t="n">
        <f aca="false">IFERROR(ROUND((IF(O176="Severe",4,IF(O176="Moderate",3,IF(O176="Minor",2,0)))+IF(P176="Severe",4,IF(P176="Moderate",3,IF(P176="Minor",2,0)))+IF(Q176="Severe",4,IF(Q176="Moderate",3,IF(Q176="Minor",2,0)))+IF(R176="Severe",4,IF(R176="Moderate",3,IF(R176="Minor",2,0))))/16*100,0),"")</f>
        <v>0</v>
      </c>
      <c r="U176" s="18"/>
      <c r="V176" s="17"/>
      <c r="W176" s="17"/>
      <c r="X176" s="17"/>
      <c r="Y176" s="20" t="n">
        <f aca="false">IFERROR(ROUND(IF(H176&gt;=10,30,IF(H176&gt;=5,20,IF(H176&gt;=2,10,0)))+IF(K176="Yes",20,IF(K176="Unsure",10,0))+IF(U176="Yes",30,IF(U176="Later",15,0))+IFERROR(T176/100*20,0),0),"")</f>
        <v>0</v>
      </c>
      <c r="Z176" s="18" t="str">
        <f aca="false">IFERROR(IF(Y176&gt;=80,"🔥 HOT",IF(Y176&gt;=60,"✅ STRONG",IF(Y176&gt;=40,"⚡ WARM",IF(Y176&gt;=20,"📋 NURTURE",IF(Y176&gt;0,"❌ COLD",""))))),"")</f>
        <v/>
      </c>
      <c r="AA176" s="18" t="str">
        <f aca="false">IFERROR(IF(AND(Y176&gt;=60,OR(U176="Yes",U176="Later")),"🚨 URGENT",IF(AND(Y176&gt;=40,I176="Call Back"),"📞 CALL BACK",IF(I176="Booked Meeting","📅 BOOKED",IF(I176="Not Interested","🚫 DEAD","⏳ WORKING")))),"")</f>
        <v>⏳ WORKING</v>
      </c>
      <c r="AB176" s="21"/>
      <c r="AC176" s="22"/>
      <c r="AD176" s="23" t="str">
        <f aca="true">IFERROR(IF(AC176="","",AC176-TODAY()),"")</f>
        <v/>
      </c>
      <c r="AE176" s="17"/>
    </row>
    <row r="177" customFormat="false" ht="19.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1"/>
      <c r="I177" s="10"/>
      <c r="J177" s="10"/>
      <c r="K177" s="11"/>
      <c r="L177" s="10"/>
      <c r="M177" s="10"/>
      <c r="N177" s="10"/>
      <c r="O177" s="10"/>
      <c r="P177" s="10"/>
      <c r="Q177" s="10"/>
      <c r="R177" s="10"/>
      <c r="S177" s="10"/>
      <c r="T177" s="12" t="n">
        <f aca="false">IFERROR(ROUND((IF(O177="Severe",4,IF(O177="Moderate",3,IF(O177="Minor",2,0)))+IF(P177="Severe",4,IF(P177="Moderate",3,IF(P177="Minor",2,0)))+IF(Q177="Severe",4,IF(Q177="Moderate",3,IF(Q177="Minor",2,0)))+IF(R177="Severe",4,IF(R177="Moderate",3,IF(R177="Minor",2,0))))/16*100,0),"")</f>
        <v>0</v>
      </c>
      <c r="U177" s="11"/>
      <c r="V177" s="10"/>
      <c r="W177" s="10"/>
      <c r="X177" s="10"/>
      <c r="Y177" s="13" t="n">
        <f aca="false">IFERROR(ROUND(IF(H177&gt;=10,30,IF(H177&gt;=5,20,IF(H177&gt;=2,10,0)))+IF(K177="Yes",20,IF(K177="Unsure",10,0))+IF(U177="Yes",30,IF(U177="Later",15,0))+IFERROR(T177/100*20,0),0),"")</f>
        <v>0</v>
      </c>
      <c r="Z177" s="11" t="str">
        <f aca="false">IFERROR(IF(Y177&gt;=80,"🔥 HOT",IF(Y177&gt;=60,"✅ STRONG",IF(Y177&gt;=40,"⚡ WARM",IF(Y177&gt;=20,"📋 NURTURE",IF(Y177&gt;0,"❌ COLD",""))))),"")</f>
        <v/>
      </c>
      <c r="AA177" s="11" t="str">
        <f aca="false">IFERROR(IF(AND(Y177&gt;=60,OR(U177="Yes",U177="Later")),"🚨 URGENT",IF(AND(Y177&gt;=40,I177="Call Back"),"📞 CALL BACK",IF(I177="Booked Meeting","📅 BOOKED",IF(I177="Not Interested","🚫 DEAD","⏳ WORKING")))),"")</f>
        <v>⏳ WORKING</v>
      </c>
      <c r="AB177" s="14"/>
      <c r="AC177" s="15"/>
      <c r="AD177" s="16" t="str">
        <f aca="true">IFERROR(IF(AC177="","",AC177-TODAY()),"")</f>
        <v/>
      </c>
      <c r="AE177" s="10"/>
    </row>
    <row r="178" customFormat="false" ht="19.5" hidden="false" customHeight="true" outlineLevel="0" collapsed="false">
      <c r="A178" s="17"/>
      <c r="B178" s="17"/>
      <c r="C178" s="17"/>
      <c r="D178" s="17"/>
      <c r="E178" s="17"/>
      <c r="F178" s="17"/>
      <c r="G178" s="17"/>
      <c r="H178" s="18"/>
      <c r="I178" s="17"/>
      <c r="J178" s="17"/>
      <c r="K178" s="18"/>
      <c r="L178" s="17"/>
      <c r="M178" s="17"/>
      <c r="N178" s="17"/>
      <c r="O178" s="17"/>
      <c r="P178" s="17"/>
      <c r="Q178" s="17"/>
      <c r="R178" s="17"/>
      <c r="S178" s="17"/>
      <c r="T178" s="19" t="n">
        <f aca="false">IFERROR(ROUND((IF(O178="Severe",4,IF(O178="Moderate",3,IF(O178="Minor",2,0)))+IF(P178="Severe",4,IF(P178="Moderate",3,IF(P178="Minor",2,0)))+IF(Q178="Severe",4,IF(Q178="Moderate",3,IF(Q178="Minor",2,0)))+IF(R178="Severe",4,IF(R178="Moderate",3,IF(R178="Minor",2,0))))/16*100,0),"")</f>
        <v>0</v>
      </c>
      <c r="U178" s="18"/>
      <c r="V178" s="17"/>
      <c r="W178" s="17"/>
      <c r="X178" s="17"/>
      <c r="Y178" s="20" t="n">
        <f aca="false">IFERROR(ROUND(IF(H178&gt;=10,30,IF(H178&gt;=5,20,IF(H178&gt;=2,10,0)))+IF(K178="Yes",20,IF(K178="Unsure",10,0))+IF(U178="Yes",30,IF(U178="Later",15,0))+IFERROR(T178/100*20,0),0),"")</f>
        <v>0</v>
      </c>
      <c r="Z178" s="18" t="str">
        <f aca="false">IFERROR(IF(Y178&gt;=80,"🔥 HOT",IF(Y178&gt;=60,"✅ STRONG",IF(Y178&gt;=40,"⚡ WARM",IF(Y178&gt;=20,"📋 NURTURE",IF(Y178&gt;0,"❌ COLD",""))))),"")</f>
        <v/>
      </c>
      <c r="AA178" s="18" t="str">
        <f aca="false">IFERROR(IF(AND(Y178&gt;=60,OR(U178="Yes",U178="Later")),"🚨 URGENT",IF(AND(Y178&gt;=40,I178="Call Back"),"📞 CALL BACK",IF(I178="Booked Meeting","📅 BOOKED",IF(I178="Not Interested","🚫 DEAD","⏳ WORKING")))),"")</f>
        <v>⏳ WORKING</v>
      </c>
      <c r="AB178" s="21"/>
      <c r="AC178" s="22"/>
      <c r="AD178" s="23" t="str">
        <f aca="true">IFERROR(IF(AC178="","",AC178-TODAY()),"")</f>
        <v/>
      </c>
      <c r="AE178" s="17"/>
    </row>
    <row r="179" customFormat="false" ht="19.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1"/>
      <c r="I179" s="10"/>
      <c r="J179" s="10"/>
      <c r="K179" s="11"/>
      <c r="L179" s="10"/>
      <c r="M179" s="10"/>
      <c r="N179" s="10"/>
      <c r="O179" s="10"/>
      <c r="P179" s="10"/>
      <c r="Q179" s="10"/>
      <c r="R179" s="10"/>
      <c r="S179" s="10"/>
      <c r="T179" s="12" t="n">
        <f aca="false">IFERROR(ROUND((IF(O179="Severe",4,IF(O179="Moderate",3,IF(O179="Minor",2,0)))+IF(P179="Severe",4,IF(P179="Moderate",3,IF(P179="Minor",2,0)))+IF(Q179="Severe",4,IF(Q179="Moderate",3,IF(Q179="Minor",2,0)))+IF(R179="Severe",4,IF(R179="Moderate",3,IF(R179="Minor",2,0))))/16*100,0),"")</f>
        <v>0</v>
      </c>
      <c r="U179" s="11"/>
      <c r="V179" s="10"/>
      <c r="W179" s="10"/>
      <c r="X179" s="10"/>
      <c r="Y179" s="13" t="n">
        <f aca="false">IFERROR(ROUND(IF(H179&gt;=10,30,IF(H179&gt;=5,20,IF(H179&gt;=2,10,0)))+IF(K179="Yes",20,IF(K179="Unsure",10,0))+IF(U179="Yes",30,IF(U179="Later",15,0))+IFERROR(T179/100*20,0),0),"")</f>
        <v>0</v>
      </c>
      <c r="Z179" s="11" t="str">
        <f aca="false">IFERROR(IF(Y179&gt;=80,"🔥 HOT",IF(Y179&gt;=60,"✅ STRONG",IF(Y179&gt;=40,"⚡ WARM",IF(Y179&gt;=20,"📋 NURTURE",IF(Y179&gt;0,"❌ COLD",""))))),"")</f>
        <v/>
      </c>
      <c r="AA179" s="11" t="str">
        <f aca="false">IFERROR(IF(AND(Y179&gt;=60,OR(U179="Yes",U179="Later")),"🚨 URGENT",IF(AND(Y179&gt;=40,I179="Call Back"),"📞 CALL BACK",IF(I179="Booked Meeting","📅 BOOKED",IF(I179="Not Interested","🚫 DEAD","⏳ WORKING")))),"")</f>
        <v>⏳ WORKING</v>
      </c>
      <c r="AB179" s="14"/>
      <c r="AC179" s="15"/>
      <c r="AD179" s="16" t="str">
        <f aca="true">IFERROR(IF(AC179="","",AC179-TODAY()),"")</f>
        <v/>
      </c>
      <c r="AE179" s="10"/>
    </row>
    <row r="180" customFormat="false" ht="19.5" hidden="false" customHeight="true" outlineLevel="0" collapsed="false">
      <c r="A180" s="17"/>
      <c r="B180" s="17"/>
      <c r="C180" s="17"/>
      <c r="D180" s="17"/>
      <c r="E180" s="17"/>
      <c r="F180" s="17"/>
      <c r="G180" s="17"/>
      <c r="H180" s="18"/>
      <c r="I180" s="17"/>
      <c r="J180" s="17"/>
      <c r="K180" s="18"/>
      <c r="L180" s="17"/>
      <c r="M180" s="17"/>
      <c r="N180" s="17"/>
      <c r="O180" s="17"/>
      <c r="P180" s="17"/>
      <c r="Q180" s="17"/>
      <c r="R180" s="17"/>
      <c r="S180" s="17"/>
      <c r="T180" s="19" t="n">
        <f aca="false">IFERROR(ROUND((IF(O180="Severe",4,IF(O180="Moderate",3,IF(O180="Minor",2,0)))+IF(P180="Severe",4,IF(P180="Moderate",3,IF(P180="Minor",2,0)))+IF(Q180="Severe",4,IF(Q180="Moderate",3,IF(Q180="Minor",2,0)))+IF(R180="Severe",4,IF(R180="Moderate",3,IF(R180="Minor",2,0))))/16*100,0),"")</f>
        <v>0</v>
      </c>
      <c r="U180" s="18"/>
      <c r="V180" s="17"/>
      <c r="W180" s="17"/>
      <c r="X180" s="17"/>
      <c r="Y180" s="20" t="n">
        <f aca="false">IFERROR(ROUND(IF(H180&gt;=10,30,IF(H180&gt;=5,20,IF(H180&gt;=2,10,0)))+IF(K180="Yes",20,IF(K180="Unsure",10,0))+IF(U180="Yes",30,IF(U180="Later",15,0))+IFERROR(T180/100*20,0),0),"")</f>
        <v>0</v>
      </c>
      <c r="Z180" s="18" t="str">
        <f aca="false">IFERROR(IF(Y180&gt;=80,"🔥 HOT",IF(Y180&gt;=60,"✅ STRONG",IF(Y180&gt;=40,"⚡ WARM",IF(Y180&gt;=20,"📋 NURTURE",IF(Y180&gt;0,"❌ COLD",""))))),"")</f>
        <v/>
      </c>
      <c r="AA180" s="18" t="str">
        <f aca="false">IFERROR(IF(AND(Y180&gt;=60,OR(U180="Yes",U180="Later")),"🚨 URGENT",IF(AND(Y180&gt;=40,I180="Call Back"),"📞 CALL BACK",IF(I180="Booked Meeting","📅 BOOKED",IF(I180="Not Interested","🚫 DEAD","⏳ WORKING")))),"")</f>
        <v>⏳ WORKING</v>
      </c>
      <c r="AB180" s="21"/>
      <c r="AC180" s="22"/>
      <c r="AD180" s="23" t="str">
        <f aca="true">IFERROR(IF(AC180="","",AC180-TODAY()),"")</f>
        <v/>
      </c>
      <c r="AE180" s="17"/>
    </row>
    <row r="181" customFormat="false" ht="19.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1"/>
      <c r="I181" s="10"/>
      <c r="J181" s="10"/>
      <c r="K181" s="11"/>
      <c r="L181" s="10"/>
      <c r="M181" s="10"/>
      <c r="N181" s="10"/>
      <c r="O181" s="10"/>
      <c r="P181" s="10"/>
      <c r="Q181" s="10"/>
      <c r="R181" s="10"/>
      <c r="S181" s="10"/>
      <c r="T181" s="12" t="n">
        <f aca="false">IFERROR(ROUND((IF(O181="Severe",4,IF(O181="Moderate",3,IF(O181="Minor",2,0)))+IF(P181="Severe",4,IF(P181="Moderate",3,IF(P181="Minor",2,0)))+IF(Q181="Severe",4,IF(Q181="Moderate",3,IF(Q181="Minor",2,0)))+IF(R181="Severe",4,IF(R181="Moderate",3,IF(R181="Minor",2,0))))/16*100,0),"")</f>
        <v>0</v>
      </c>
      <c r="U181" s="11"/>
      <c r="V181" s="10"/>
      <c r="W181" s="10"/>
      <c r="X181" s="10"/>
      <c r="Y181" s="13" t="n">
        <f aca="false">IFERROR(ROUND(IF(H181&gt;=10,30,IF(H181&gt;=5,20,IF(H181&gt;=2,10,0)))+IF(K181="Yes",20,IF(K181="Unsure",10,0))+IF(U181="Yes",30,IF(U181="Later",15,0))+IFERROR(T181/100*20,0),0),"")</f>
        <v>0</v>
      </c>
      <c r="Z181" s="11" t="str">
        <f aca="false">IFERROR(IF(Y181&gt;=80,"🔥 HOT",IF(Y181&gt;=60,"✅ STRONG",IF(Y181&gt;=40,"⚡ WARM",IF(Y181&gt;=20,"📋 NURTURE",IF(Y181&gt;0,"❌ COLD",""))))),"")</f>
        <v/>
      </c>
      <c r="AA181" s="11" t="str">
        <f aca="false">IFERROR(IF(AND(Y181&gt;=60,OR(U181="Yes",U181="Later")),"🚨 URGENT",IF(AND(Y181&gt;=40,I181="Call Back"),"📞 CALL BACK",IF(I181="Booked Meeting","📅 BOOKED",IF(I181="Not Interested","🚫 DEAD","⏳ WORKING")))),"")</f>
        <v>⏳ WORKING</v>
      </c>
      <c r="AB181" s="14"/>
      <c r="AC181" s="15"/>
      <c r="AD181" s="16" t="str">
        <f aca="true">IFERROR(IF(AC181="","",AC181-TODAY()),"")</f>
        <v/>
      </c>
      <c r="AE181" s="10"/>
    </row>
    <row r="182" customFormat="false" ht="19.5" hidden="false" customHeight="true" outlineLevel="0" collapsed="false">
      <c r="A182" s="17"/>
      <c r="B182" s="17"/>
      <c r="C182" s="17"/>
      <c r="D182" s="17"/>
      <c r="E182" s="17"/>
      <c r="F182" s="17"/>
      <c r="G182" s="17"/>
      <c r="H182" s="18"/>
      <c r="I182" s="17"/>
      <c r="J182" s="17"/>
      <c r="K182" s="18"/>
      <c r="L182" s="17"/>
      <c r="M182" s="17"/>
      <c r="N182" s="17"/>
      <c r="O182" s="17"/>
      <c r="P182" s="17"/>
      <c r="Q182" s="17"/>
      <c r="R182" s="17"/>
      <c r="S182" s="17"/>
      <c r="T182" s="19" t="n">
        <f aca="false">IFERROR(ROUND((IF(O182="Severe",4,IF(O182="Moderate",3,IF(O182="Minor",2,0)))+IF(P182="Severe",4,IF(P182="Moderate",3,IF(P182="Minor",2,0)))+IF(Q182="Severe",4,IF(Q182="Moderate",3,IF(Q182="Minor",2,0)))+IF(R182="Severe",4,IF(R182="Moderate",3,IF(R182="Minor",2,0))))/16*100,0),"")</f>
        <v>0</v>
      </c>
      <c r="U182" s="18"/>
      <c r="V182" s="17"/>
      <c r="W182" s="17"/>
      <c r="X182" s="17"/>
      <c r="Y182" s="20" t="n">
        <f aca="false">IFERROR(ROUND(IF(H182&gt;=10,30,IF(H182&gt;=5,20,IF(H182&gt;=2,10,0)))+IF(K182="Yes",20,IF(K182="Unsure",10,0))+IF(U182="Yes",30,IF(U182="Later",15,0))+IFERROR(T182/100*20,0),0),"")</f>
        <v>0</v>
      </c>
      <c r="Z182" s="18" t="str">
        <f aca="false">IFERROR(IF(Y182&gt;=80,"🔥 HOT",IF(Y182&gt;=60,"✅ STRONG",IF(Y182&gt;=40,"⚡ WARM",IF(Y182&gt;=20,"📋 NURTURE",IF(Y182&gt;0,"❌ COLD",""))))),"")</f>
        <v/>
      </c>
      <c r="AA182" s="18" t="str">
        <f aca="false">IFERROR(IF(AND(Y182&gt;=60,OR(U182="Yes",U182="Later")),"🚨 URGENT",IF(AND(Y182&gt;=40,I182="Call Back"),"📞 CALL BACK",IF(I182="Booked Meeting","📅 BOOKED",IF(I182="Not Interested","🚫 DEAD","⏳ WORKING")))),"")</f>
        <v>⏳ WORKING</v>
      </c>
      <c r="AB182" s="21"/>
      <c r="AC182" s="22"/>
      <c r="AD182" s="23" t="str">
        <f aca="true">IFERROR(IF(AC182="","",AC182-TODAY()),"")</f>
        <v/>
      </c>
      <c r="AE182" s="17"/>
    </row>
    <row r="183" customFormat="false" ht="19.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1"/>
      <c r="I183" s="10"/>
      <c r="J183" s="10"/>
      <c r="K183" s="11"/>
      <c r="L183" s="10"/>
      <c r="M183" s="10"/>
      <c r="N183" s="10"/>
      <c r="O183" s="10"/>
      <c r="P183" s="10"/>
      <c r="Q183" s="10"/>
      <c r="R183" s="10"/>
      <c r="S183" s="10"/>
      <c r="T183" s="12" t="n">
        <f aca="false">IFERROR(ROUND((IF(O183="Severe",4,IF(O183="Moderate",3,IF(O183="Minor",2,0)))+IF(P183="Severe",4,IF(P183="Moderate",3,IF(P183="Minor",2,0)))+IF(Q183="Severe",4,IF(Q183="Moderate",3,IF(Q183="Minor",2,0)))+IF(R183="Severe",4,IF(R183="Moderate",3,IF(R183="Minor",2,0))))/16*100,0),"")</f>
        <v>0</v>
      </c>
      <c r="U183" s="11"/>
      <c r="V183" s="10"/>
      <c r="W183" s="10"/>
      <c r="X183" s="10"/>
      <c r="Y183" s="13" t="n">
        <f aca="false">IFERROR(ROUND(IF(H183&gt;=10,30,IF(H183&gt;=5,20,IF(H183&gt;=2,10,0)))+IF(K183="Yes",20,IF(K183="Unsure",10,0))+IF(U183="Yes",30,IF(U183="Later",15,0))+IFERROR(T183/100*20,0),0),"")</f>
        <v>0</v>
      </c>
      <c r="Z183" s="11" t="str">
        <f aca="false">IFERROR(IF(Y183&gt;=80,"🔥 HOT",IF(Y183&gt;=60,"✅ STRONG",IF(Y183&gt;=40,"⚡ WARM",IF(Y183&gt;=20,"📋 NURTURE",IF(Y183&gt;0,"❌ COLD",""))))),"")</f>
        <v/>
      </c>
      <c r="AA183" s="11" t="str">
        <f aca="false">IFERROR(IF(AND(Y183&gt;=60,OR(U183="Yes",U183="Later")),"🚨 URGENT",IF(AND(Y183&gt;=40,I183="Call Back"),"📞 CALL BACK",IF(I183="Booked Meeting","📅 BOOKED",IF(I183="Not Interested","🚫 DEAD","⏳ WORKING")))),"")</f>
        <v>⏳ WORKING</v>
      </c>
      <c r="AB183" s="14"/>
      <c r="AC183" s="15"/>
      <c r="AD183" s="16" t="str">
        <f aca="true">IFERROR(IF(AC183="","",AC183-TODAY()),"")</f>
        <v/>
      </c>
      <c r="AE183" s="10"/>
    </row>
    <row r="184" customFormat="false" ht="19.5" hidden="false" customHeight="true" outlineLevel="0" collapsed="false">
      <c r="A184" s="17"/>
      <c r="B184" s="17"/>
      <c r="C184" s="17"/>
      <c r="D184" s="17"/>
      <c r="E184" s="17"/>
      <c r="F184" s="17"/>
      <c r="G184" s="17"/>
      <c r="H184" s="18"/>
      <c r="I184" s="17"/>
      <c r="J184" s="17"/>
      <c r="K184" s="18"/>
      <c r="L184" s="17"/>
      <c r="M184" s="17"/>
      <c r="N184" s="17"/>
      <c r="O184" s="17"/>
      <c r="P184" s="17"/>
      <c r="Q184" s="17"/>
      <c r="R184" s="17"/>
      <c r="S184" s="17"/>
      <c r="T184" s="19" t="n">
        <f aca="false">IFERROR(ROUND((IF(O184="Severe",4,IF(O184="Moderate",3,IF(O184="Minor",2,0)))+IF(P184="Severe",4,IF(P184="Moderate",3,IF(P184="Minor",2,0)))+IF(Q184="Severe",4,IF(Q184="Moderate",3,IF(Q184="Minor",2,0)))+IF(R184="Severe",4,IF(R184="Moderate",3,IF(R184="Minor",2,0))))/16*100,0),"")</f>
        <v>0</v>
      </c>
      <c r="U184" s="18"/>
      <c r="V184" s="17"/>
      <c r="W184" s="17"/>
      <c r="X184" s="17"/>
      <c r="Y184" s="20" t="n">
        <f aca="false">IFERROR(ROUND(IF(H184&gt;=10,30,IF(H184&gt;=5,20,IF(H184&gt;=2,10,0)))+IF(K184="Yes",20,IF(K184="Unsure",10,0))+IF(U184="Yes",30,IF(U184="Later",15,0))+IFERROR(T184/100*20,0),0),"")</f>
        <v>0</v>
      </c>
      <c r="Z184" s="18" t="str">
        <f aca="false">IFERROR(IF(Y184&gt;=80,"🔥 HOT",IF(Y184&gt;=60,"✅ STRONG",IF(Y184&gt;=40,"⚡ WARM",IF(Y184&gt;=20,"📋 NURTURE",IF(Y184&gt;0,"❌ COLD",""))))),"")</f>
        <v/>
      </c>
      <c r="AA184" s="18" t="str">
        <f aca="false">IFERROR(IF(AND(Y184&gt;=60,OR(U184="Yes",U184="Later")),"🚨 URGENT",IF(AND(Y184&gt;=40,I184="Call Back"),"📞 CALL BACK",IF(I184="Booked Meeting","📅 BOOKED",IF(I184="Not Interested","🚫 DEAD","⏳ WORKING")))),"")</f>
        <v>⏳ WORKING</v>
      </c>
      <c r="AB184" s="21"/>
      <c r="AC184" s="22"/>
      <c r="AD184" s="23" t="str">
        <f aca="true">IFERROR(IF(AC184="","",AC184-TODAY()),"")</f>
        <v/>
      </c>
      <c r="AE184" s="17"/>
    </row>
    <row r="185" customFormat="false" ht="19.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1"/>
      <c r="I185" s="10"/>
      <c r="J185" s="10"/>
      <c r="K185" s="11"/>
      <c r="L185" s="10"/>
      <c r="M185" s="10"/>
      <c r="N185" s="10"/>
      <c r="O185" s="10"/>
      <c r="P185" s="10"/>
      <c r="Q185" s="10"/>
      <c r="R185" s="10"/>
      <c r="S185" s="10"/>
      <c r="T185" s="12" t="n">
        <f aca="false">IFERROR(ROUND((IF(O185="Severe",4,IF(O185="Moderate",3,IF(O185="Minor",2,0)))+IF(P185="Severe",4,IF(P185="Moderate",3,IF(P185="Minor",2,0)))+IF(Q185="Severe",4,IF(Q185="Moderate",3,IF(Q185="Minor",2,0)))+IF(R185="Severe",4,IF(R185="Moderate",3,IF(R185="Minor",2,0))))/16*100,0),"")</f>
        <v>0</v>
      </c>
      <c r="U185" s="11"/>
      <c r="V185" s="10"/>
      <c r="W185" s="10"/>
      <c r="X185" s="10"/>
      <c r="Y185" s="13" t="n">
        <f aca="false">IFERROR(ROUND(IF(H185&gt;=10,30,IF(H185&gt;=5,20,IF(H185&gt;=2,10,0)))+IF(K185="Yes",20,IF(K185="Unsure",10,0))+IF(U185="Yes",30,IF(U185="Later",15,0))+IFERROR(T185/100*20,0),0),"")</f>
        <v>0</v>
      </c>
      <c r="Z185" s="11" t="str">
        <f aca="false">IFERROR(IF(Y185&gt;=80,"🔥 HOT",IF(Y185&gt;=60,"✅ STRONG",IF(Y185&gt;=40,"⚡ WARM",IF(Y185&gt;=20,"📋 NURTURE",IF(Y185&gt;0,"❌ COLD",""))))),"")</f>
        <v/>
      </c>
      <c r="AA185" s="11" t="str">
        <f aca="false">IFERROR(IF(AND(Y185&gt;=60,OR(U185="Yes",U185="Later")),"🚨 URGENT",IF(AND(Y185&gt;=40,I185="Call Back"),"📞 CALL BACK",IF(I185="Booked Meeting","📅 BOOKED",IF(I185="Not Interested","🚫 DEAD","⏳ WORKING")))),"")</f>
        <v>⏳ WORKING</v>
      </c>
      <c r="AB185" s="14"/>
      <c r="AC185" s="15"/>
      <c r="AD185" s="16" t="str">
        <f aca="true">IFERROR(IF(AC185="","",AC185-TODAY()),"")</f>
        <v/>
      </c>
      <c r="AE185" s="10"/>
    </row>
    <row r="186" customFormat="false" ht="19.5" hidden="false" customHeight="true" outlineLevel="0" collapsed="false">
      <c r="A186" s="17"/>
      <c r="B186" s="17"/>
      <c r="C186" s="17"/>
      <c r="D186" s="17"/>
      <c r="E186" s="17"/>
      <c r="F186" s="17"/>
      <c r="G186" s="17"/>
      <c r="H186" s="18"/>
      <c r="I186" s="17"/>
      <c r="J186" s="17"/>
      <c r="K186" s="18"/>
      <c r="L186" s="17"/>
      <c r="M186" s="17"/>
      <c r="N186" s="17"/>
      <c r="O186" s="17"/>
      <c r="P186" s="17"/>
      <c r="Q186" s="17"/>
      <c r="R186" s="17"/>
      <c r="S186" s="17"/>
      <c r="T186" s="19" t="n">
        <f aca="false">IFERROR(ROUND((IF(O186="Severe",4,IF(O186="Moderate",3,IF(O186="Minor",2,0)))+IF(P186="Severe",4,IF(P186="Moderate",3,IF(P186="Minor",2,0)))+IF(Q186="Severe",4,IF(Q186="Moderate",3,IF(Q186="Minor",2,0)))+IF(R186="Severe",4,IF(R186="Moderate",3,IF(R186="Minor",2,0))))/16*100,0),"")</f>
        <v>0</v>
      </c>
      <c r="U186" s="18"/>
      <c r="V186" s="17"/>
      <c r="W186" s="17"/>
      <c r="X186" s="17"/>
      <c r="Y186" s="20" t="n">
        <f aca="false">IFERROR(ROUND(IF(H186&gt;=10,30,IF(H186&gt;=5,20,IF(H186&gt;=2,10,0)))+IF(K186="Yes",20,IF(K186="Unsure",10,0))+IF(U186="Yes",30,IF(U186="Later",15,0))+IFERROR(T186/100*20,0),0),"")</f>
        <v>0</v>
      </c>
      <c r="Z186" s="18" t="str">
        <f aca="false">IFERROR(IF(Y186&gt;=80,"🔥 HOT",IF(Y186&gt;=60,"✅ STRONG",IF(Y186&gt;=40,"⚡ WARM",IF(Y186&gt;=20,"📋 NURTURE",IF(Y186&gt;0,"❌ COLD",""))))),"")</f>
        <v/>
      </c>
      <c r="AA186" s="18" t="str">
        <f aca="false">IFERROR(IF(AND(Y186&gt;=60,OR(U186="Yes",U186="Later")),"🚨 URGENT",IF(AND(Y186&gt;=40,I186="Call Back"),"📞 CALL BACK",IF(I186="Booked Meeting","📅 BOOKED",IF(I186="Not Interested","🚫 DEAD","⏳ WORKING")))),"")</f>
        <v>⏳ WORKING</v>
      </c>
      <c r="AB186" s="21"/>
      <c r="AC186" s="22"/>
      <c r="AD186" s="23" t="str">
        <f aca="true">IFERROR(IF(AC186="","",AC186-TODAY()),"")</f>
        <v/>
      </c>
      <c r="AE186" s="17"/>
    </row>
    <row r="187" customFormat="false" ht="19.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1"/>
      <c r="I187" s="10"/>
      <c r="J187" s="10"/>
      <c r="K187" s="11"/>
      <c r="L187" s="10"/>
      <c r="M187" s="10"/>
      <c r="N187" s="10"/>
      <c r="O187" s="10"/>
      <c r="P187" s="10"/>
      <c r="Q187" s="10"/>
      <c r="R187" s="10"/>
      <c r="S187" s="10"/>
      <c r="T187" s="12" t="n">
        <f aca="false">IFERROR(ROUND((IF(O187="Severe",4,IF(O187="Moderate",3,IF(O187="Minor",2,0)))+IF(P187="Severe",4,IF(P187="Moderate",3,IF(P187="Minor",2,0)))+IF(Q187="Severe",4,IF(Q187="Moderate",3,IF(Q187="Minor",2,0)))+IF(R187="Severe",4,IF(R187="Moderate",3,IF(R187="Minor",2,0))))/16*100,0),"")</f>
        <v>0</v>
      </c>
      <c r="U187" s="11"/>
      <c r="V187" s="10"/>
      <c r="W187" s="10"/>
      <c r="X187" s="10"/>
      <c r="Y187" s="13" t="n">
        <f aca="false">IFERROR(ROUND(IF(H187&gt;=10,30,IF(H187&gt;=5,20,IF(H187&gt;=2,10,0)))+IF(K187="Yes",20,IF(K187="Unsure",10,0))+IF(U187="Yes",30,IF(U187="Later",15,0))+IFERROR(T187/100*20,0),0),"")</f>
        <v>0</v>
      </c>
      <c r="Z187" s="11" t="str">
        <f aca="false">IFERROR(IF(Y187&gt;=80,"🔥 HOT",IF(Y187&gt;=60,"✅ STRONG",IF(Y187&gt;=40,"⚡ WARM",IF(Y187&gt;=20,"📋 NURTURE",IF(Y187&gt;0,"❌ COLD",""))))),"")</f>
        <v/>
      </c>
      <c r="AA187" s="11" t="str">
        <f aca="false">IFERROR(IF(AND(Y187&gt;=60,OR(U187="Yes",U187="Later")),"🚨 URGENT",IF(AND(Y187&gt;=40,I187="Call Back"),"📞 CALL BACK",IF(I187="Booked Meeting","📅 BOOKED",IF(I187="Not Interested","🚫 DEAD","⏳ WORKING")))),"")</f>
        <v>⏳ WORKING</v>
      </c>
      <c r="AB187" s="14"/>
      <c r="AC187" s="15"/>
      <c r="AD187" s="16" t="str">
        <f aca="true">IFERROR(IF(AC187="","",AC187-TODAY()),"")</f>
        <v/>
      </c>
      <c r="AE187" s="10"/>
    </row>
    <row r="188" customFormat="false" ht="19.5" hidden="false" customHeight="true" outlineLevel="0" collapsed="false">
      <c r="A188" s="17"/>
      <c r="B188" s="17"/>
      <c r="C188" s="17"/>
      <c r="D188" s="17"/>
      <c r="E188" s="17"/>
      <c r="F188" s="17"/>
      <c r="G188" s="17"/>
      <c r="H188" s="18"/>
      <c r="I188" s="17"/>
      <c r="J188" s="17"/>
      <c r="K188" s="18"/>
      <c r="L188" s="17"/>
      <c r="M188" s="17"/>
      <c r="N188" s="17"/>
      <c r="O188" s="17"/>
      <c r="P188" s="17"/>
      <c r="Q188" s="17"/>
      <c r="R188" s="17"/>
      <c r="S188" s="17"/>
      <c r="T188" s="19" t="n">
        <f aca="false">IFERROR(ROUND((IF(O188="Severe",4,IF(O188="Moderate",3,IF(O188="Minor",2,0)))+IF(P188="Severe",4,IF(P188="Moderate",3,IF(P188="Minor",2,0)))+IF(Q188="Severe",4,IF(Q188="Moderate",3,IF(Q188="Minor",2,0)))+IF(R188="Severe",4,IF(R188="Moderate",3,IF(R188="Minor",2,0))))/16*100,0),"")</f>
        <v>0</v>
      </c>
      <c r="U188" s="18"/>
      <c r="V188" s="17"/>
      <c r="W188" s="17"/>
      <c r="X188" s="17"/>
      <c r="Y188" s="20" t="n">
        <f aca="false">IFERROR(ROUND(IF(H188&gt;=10,30,IF(H188&gt;=5,20,IF(H188&gt;=2,10,0)))+IF(K188="Yes",20,IF(K188="Unsure",10,0))+IF(U188="Yes",30,IF(U188="Later",15,0))+IFERROR(T188/100*20,0),0),"")</f>
        <v>0</v>
      </c>
      <c r="Z188" s="18" t="str">
        <f aca="false">IFERROR(IF(Y188&gt;=80,"🔥 HOT",IF(Y188&gt;=60,"✅ STRONG",IF(Y188&gt;=40,"⚡ WARM",IF(Y188&gt;=20,"📋 NURTURE",IF(Y188&gt;0,"❌ COLD",""))))),"")</f>
        <v/>
      </c>
      <c r="AA188" s="18" t="str">
        <f aca="false">IFERROR(IF(AND(Y188&gt;=60,OR(U188="Yes",U188="Later")),"🚨 URGENT",IF(AND(Y188&gt;=40,I188="Call Back"),"📞 CALL BACK",IF(I188="Booked Meeting","📅 BOOKED",IF(I188="Not Interested","🚫 DEAD","⏳ WORKING")))),"")</f>
        <v>⏳ WORKING</v>
      </c>
      <c r="AB188" s="21"/>
      <c r="AC188" s="22"/>
      <c r="AD188" s="23" t="str">
        <f aca="true">IFERROR(IF(AC188="","",AC188-TODAY()),"")</f>
        <v/>
      </c>
      <c r="AE188" s="17"/>
    </row>
    <row r="189" customFormat="false" ht="19.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1"/>
      <c r="I189" s="10"/>
      <c r="J189" s="10"/>
      <c r="K189" s="11"/>
      <c r="L189" s="10"/>
      <c r="M189" s="10"/>
      <c r="N189" s="10"/>
      <c r="O189" s="10"/>
      <c r="P189" s="10"/>
      <c r="Q189" s="10"/>
      <c r="R189" s="10"/>
      <c r="S189" s="10"/>
      <c r="T189" s="12" t="n">
        <f aca="false">IFERROR(ROUND((IF(O189="Severe",4,IF(O189="Moderate",3,IF(O189="Minor",2,0)))+IF(P189="Severe",4,IF(P189="Moderate",3,IF(P189="Minor",2,0)))+IF(Q189="Severe",4,IF(Q189="Moderate",3,IF(Q189="Minor",2,0)))+IF(R189="Severe",4,IF(R189="Moderate",3,IF(R189="Minor",2,0))))/16*100,0),"")</f>
        <v>0</v>
      </c>
      <c r="U189" s="11"/>
      <c r="V189" s="10"/>
      <c r="W189" s="10"/>
      <c r="X189" s="10"/>
      <c r="Y189" s="13" t="n">
        <f aca="false">IFERROR(ROUND(IF(H189&gt;=10,30,IF(H189&gt;=5,20,IF(H189&gt;=2,10,0)))+IF(K189="Yes",20,IF(K189="Unsure",10,0))+IF(U189="Yes",30,IF(U189="Later",15,0))+IFERROR(T189/100*20,0),0),"")</f>
        <v>0</v>
      </c>
      <c r="Z189" s="11" t="str">
        <f aca="false">IFERROR(IF(Y189&gt;=80,"🔥 HOT",IF(Y189&gt;=60,"✅ STRONG",IF(Y189&gt;=40,"⚡ WARM",IF(Y189&gt;=20,"📋 NURTURE",IF(Y189&gt;0,"❌ COLD",""))))),"")</f>
        <v/>
      </c>
      <c r="AA189" s="11" t="str">
        <f aca="false">IFERROR(IF(AND(Y189&gt;=60,OR(U189="Yes",U189="Later")),"🚨 URGENT",IF(AND(Y189&gt;=40,I189="Call Back"),"📞 CALL BACK",IF(I189="Booked Meeting","📅 BOOKED",IF(I189="Not Interested","🚫 DEAD","⏳ WORKING")))),"")</f>
        <v>⏳ WORKING</v>
      </c>
      <c r="AB189" s="14"/>
      <c r="AC189" s="15"/>
      <c r="AD189" s="16" t="str">
        <f aca="true">IFERROR(IF(AC189="","",AC189-TODAY()),"")</f>
        <v/>
      </c>
      <c r="AE189" s="10"/>
    </row>
    <row r="190" customFormat="false" ht="19.5" hidden="false" customHeight="true" outlineLevel="0" collapsed="false">
      <c r="A190" s="17"/>
      <c r="B190" s="17"/>
      <c r="C190" s="17"/>
      <c r="D190" s="17"/>
      <c r="E190" s="17"/>
      <c r="F190" s="17"/>
      <c r="G190" s="17"/>
      <c r="H190" s="18"/>
      <c r="I190" s="17"/>
      <c r="J190" s="17"/>
      <c r="K190" s="18"/>
      <c r="L190" s="17"/>
      <c r="M190" s="17"/>
      <c r="N190" s="17"/>
      <c r="O190" s="17"/>
      <c r="P190" s="17"/>
      <c r="Q190" s="17"/>
      <c r="R190" s="17"/>
      <c r="S190" s="17"/>
      <c r="T190" s="19" t="n">
        <f aca="false">IFERROR(ROUND((IF(O190="Severe",4,IF(O190="Moderate",3,IF(O190="Minor",2,0)))+IF(P190="Severe",4,IF(P190="Moderate",3,IF(P190="Minor",2,0)))+IF(Q190="Severe",4,IF(Q190="Moderate",3,IF(Q190="Minor",2,0)))+IF(R190="Severe",4,IF(R190="Moderate",3,IF(R190="Minor",2,0))))/16*100,0),"")</f>
        <v>0</v>
      </c>
      <c r="U190" s="18"/>
      <c r="V190" s="17"/>
      <c r="W190" s="17"/>
      <c r="X190" s="17"/>
      <c r="Y190" s="20" t="n">
        <f aca="false">IFERROR(ROUND(IF(H190&gt;=10,30,IF(H190&gt;=5,20,IF(H190&gt;=2,10,0)))+IF(K190="Yes",20,IF(K190="Unsure",10,0))+IF(U190="Yes",30,IF(U190="Later",15,0))+IFERROR(T190/100*20,0),0),"")</f>
        <v>0</v>
      </c>
      <c r="Z190" s="18" t="str">
        <f aca="false">IFERROR(IF(Y190&gt;=80,"🔥 HOT",IF(Y190&gt;=60,"✅ STRONG",IF(Y190&gt;=40,"⚡ WARM",IF(Y190&gt;=20,"📋 NURTURE",IF(Y190&gt;0,"❌ COLD",""))))),"")</f>
        <v/>
      </c>
      <c r="AA190" s="18" t="str">
        <f aca="false">IFERROR(IF(AND(Y190&gt;=60,OR(U190="Yes",U190="Later")),"🚨 URGENT",IF(AND(Y190&gt;=40,I190="Call Back"),"📞 CALL BACK",IF(I190="Booked Meeting","📅 BOOKED",IF(I190="Not Interested","🚫 DEAD","⏳ WORKING")))),"")</f>
        <v>⏳ WORKING</v>
      </c>
      <c r="AB190" s="21"/>
      <c r="AC190" s="22"/>
      <c r="AD190" s="23" t="str">
        <f aca="true">IFERROR(IF(AC190="","",AC190-TODAY()),"")</f>
        <v/>
      </c>
      <c r="AE190" s="17"/>
    </row>
    <row r="191" customFormat="false" ht="19.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1"/>
      <c r="I191" s="10"/>
      <c r="J191" s="10"/>
      <c r="K191" s="11"/>
      <c r="L191" s="10"/>
      <c r="M191" s="10"/>
      <c r="N191" s="10"/>
      <c r="O191" s="10"/>
      <c r="P191" s="10"/>
      <c r="Q191" s="10"/>
      <c r="R191" s="10"/>
      <c r="S191" s="10"/>
      <c r="T191" s="12" t="n">
        <f aca="false">IFERROR(ROUND((IF(O191="Severe",4,IF(O191="Moderate",3,IF(O191="Minor",2,0)))+IF(P191="Severe",4,IF(P191="Moderate",3,IF(P191="Minor",2,0)))+IF(Q191="Severe",4,IF(Q191="Moderate",3,IF(Q191="Minor",2,0)))+IF(R191="Severe",4,IF(R191="Moderate",3,IF(R191="Minor",2,0))))/16*100,0),"")</f>
        <v>0</v>
      </c>
      <c r="U191" s="11"/>
      <c r="V191" s="10"/>
      <c r="W191" s="10"/>
      <c r="X191" s="10"/>
      <c r="Y191" s="13" t="n">
        <f aca="false">IFERROR(ROUND(IF(H191&gt;=10,30,IF(H191&gt;=5,20,IF(H191&gt;=2,10,0)))+IF(K191="Yes",20,IF(K191="Unsure",10,0))+IF(U191="Yes",30,IF(U191="Later",15,0))+IFERROR(T191/100*20,0),0),"")</f>
        <v>0</v>
      </c>
      <c r="Z191" s="11" t="str">
        <f aca="false">IFERROR(IF(Y191&gt;=80,"🔥 HOT",IF(Y191&gt;=60,"✅ STRONG",IF(Y191&gt;=40,"⚡ WARM",IF(Y191&gt;=20,"📋 NURTURE",IF(Y191&gt;0,"❌ COLD",""))))),"")</f>
        <v/>
      </c>
      <c r="AA191" s="11" t="str">
        <f aca="false">IFERROR(IF(AND(Y191&gt;=60,OR(U191="Yes",U191="Later")),"🚨 URGENT",IF(AND(Y191&gt;=40,I191="Call Back"),"📞 CALL BACK",IF(I191="Booked Meeting","📅 BOOKED",IF(I191="Not Interested","🚫 DEAD","⏳ WORKING")))),"")</f>
        <v>⏳ WORKING</v>
      </c>
      <c r="AB191" s="14"/>
      <c r="AC191" s="15"/>
      <c r="AD191" s="16" t="str">
        <f aca="true">IFERROR(IF(AC191="","",AC191-TODAY()),"")</f>
        <v/>
      </c>
      <c r="AE191" s="10"/>
    </row>
    <row r="192" customFormat="false" ht="19.5" hidden="false" customHeight="true" outlineLevel="0" collapsed="false">
      <c r="A192" s="17"/>
      <c r="B192" s="17"/>
      <c r="C192" s="17"/>
      <c r="D192" s="17"/>
      <c r="E192" s="17"/>
      <c r="F192" s="17"/>
      <c r="G192" s="17"/>
      <c r="H192" s="18"/>
      <c r="I192" s="17"/>
      <c r="J192" s="17"/>
      <c r="K192" s="18"/>
      <c r="L192" s="17"/>
      <c r="M192" s="17"/>
      <c r="N192" s="17"/>
      <c r="O192" s="17"/>
      <c r="P192" s="17"/>
      <c r="Q192" s="17"/>
      <c r="R192" s="17"/>
      <c r="S192" s="17"/>
      <c r="T192" s="19" t="n">
        <f aca="false">IFERROR(ROUND((IF(O192="Severe",4,IF(O192="Moderate",3,IF(O192="Minor",2,0)))+IF(P192="Severe",4,IF(P192="Moderate",3,IF(P192="Minor",2,0)))+IF(Q192="Severe",4,IF(Q192="Moderate",3,IF(Q192="Minor",2,0)))+IF(R192="Severe",4,IF(R192="Moderate",3,IF(R192="Minor",2,0))))/16*100,0),"")</f>
        <v>0</v>
      </c>
      <c r="U192" s="18"/>
      <c r="V192" s="17"/>
      <c r="W192" s="17"/>
      <c r="X192" s="17"/>
      <c r="Y192" s="20" t="n">
        <f aca="false">IFERROR(ROUND(IF(H192&gt;=10,30,IF(H192&gt;=5,20,IF(H192&gt;=2,10,0)))+IF(K192="Yes",20,IF(K192="Unsure",10,0))+IF(U192="Yes",30,IF(U192="Later",15,0))+IFERROR(T192/100*20,0),0),"")</f>
        <v>0</v>
      </c>
      <c r="Z192" s="18" t="str">
        <f aca="false">IFERROR(IF(Y192&gt;=80,"🔥 HOT",IF(Y192&gt;=60,"✅ STRONG",IF(Y192&gt;=40,"⚡ WARM",IF(Y192&gt;=20,"📋 NURTURE",IF(Y192&gt;0,"❌ COLD",""))))),"")</f>
        <v/>
      </c>
      <c r="AA192" s="18" t="str">
        <f aca="false">IFERROR(IF(AND(Y192&gt;=60,OR(U192="Yes",U192="Later")),"🚨 URGENT",IF(AND(Y192&gt;=40,I192="Call Back"),"📞 CALL BACK",IF(I192="Booked Meeting","📅 BOOKED",IF(I192="Not Interested","🚫 DEAD","⏳ WORKING")))),"")</f>
        <v>⏳ WORKING</v>
      </c>
      <c r="AB192" s="21"/>
      <c r="AC192" s="22"/>
      <c r="AD192" s="23" t="str">
        <f aca="true">IFERROR(IF(AC192="","",AC192-TODAY()),"")</f>
        <v/>
      </c>
      <c r="AE192" s="17"/>
    </row>
    <row r="193" customFormat="false" ht="19.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1"/>
      <c r="I193" s="10"/>
      <c r="J193" s="10"/>
      <c r="K193" s="11"/>
      <c r="L193" s="10"/>
      <c r="M193" s="10"/>
      <c r="N193" s="10"/>
      <c r="O193" s="10"/>
      <c r="P193" s="10"/>
      <c r="Q193" s="10"/>
      <c r="R193" s="10"/>
      <c r="S193" s="10"/>
      <c r="T193" s="12" t="n">
        <f aca="false">IFERROR(ROUND((IF(O193="Severe",4,IF(O193="Moderate",3,IF(O193="Minor",2,0)))+IF(P193="Severe",4,IF(P193="Moderate",3,IF(P193="Minor",2,0)))+IF(Q193="Severe",4,IF(Q193="Moderate",3,IF(Q193="Minor",2,0)))+IF(R193="Severe",4,IF(R193="Moderate",3,IF(R193="Minor",2,0))))/16*100,0),"")</f>
        <v>0</v>
      </c>
      <c r="U193" s="11"/>
      <c r="V193" s="10"/>
      <c r="W193" s="10"/>
      <c r="X193" s="10"/>
      <c r="Y193" s="13" t="n">
        <f aca="false">IFERROR(ROUND(IF(H193&gt;=10,30,IF(H193&gt;=5,20,IF(H193&gt;=2,10,0)))+IF(K193="Yes",20,IF(K193="Unsure",10,0))+IF(U193="Yes",30,IF(U193="Later",15,0))+IFERROR(T193/100*20,0),0),"")</f>
        <v>0</v>
      </c>
      <c r="Z193" s="11" t="str">
        <f aca="false">IFERROR(IF(Y193&gt;=80,"🔥 HOT",IF(Y193&gt;=60,"✅ STRONG",IF(Y193&gt;=40,"⚡ WARM",IF(Y193&gt;=20,"📋 NURTURE",IF(Y193&gt;0,"❌ COLD",""))))),"")</f>
        <v/>
      </c>
      <c r="AA193" s="11" t="str">
        <f aca="false">IFERROR(IF(AND(Y193&gt;=60,OR(U193="Yes",U193="Later")),"🚨 URGENT",IF(AND(Y193&gt;=40,I193="Call Back"),"📞 CALL BACK",IF(I193="Booked Meeting","📅 BOOKED",IF(I193="Not Interested","🚫 DEAD","⏳ WORKING")))),"")</f>
        <v>⏳ WORKING</v>
      </c>
      <c r="AB193" s="14"/>
      <c r="AC193" s="15"/>
      <c r="AD193" s="16" t="str">
        <f aca="true">IFERROR(IF(AC193="","",AC193-TODAY()),"")</f>
        <v/>
      </c>
      <c r="AE193" s="10"/>
    </row>
    <row r="194" customFormat="false" ht="19.5" hidden="false" customHeight="true" outlineLevel="0" collapsed="false">
      <c r="A194" s="17"/>
      <c r="B194" s="17"/>
      <c r="C194" s="17"/>
      <c r="D194" s="17"/>
      <c r="E194" s="17"/>
      <c r="F194" s="17"/>
      <c r="G194" s="17"/>
      <c r="H194" s="18"/>
      <c r="I194" s="17"/>
      <c r="J194" s="17"/>
      <c r="K194" s="18"/>
      <c r="L194" s="17"/>
      <c r="M194" s="17"/>
      <c r="N194" s="17"/>
      <c r="O194" s="17"/>
      <c r="P194" s="17"/>
      <c r="Q194" s="17"/>
      <c r="R194" s="17"/>
      <c r="S194" s="17"/>
      <c r="T194" s="19" t="n">
        <f aca="false">IFERROR(ROUND((IF(O194="Severe",4,IF(O194="Moderate",3,IF(O194="Minor",2,0)))+IF(P194="Severe",4,IF(P194="Moderate",3,IF(P194="Minor",2,0)))+IF(Q194="Severe",4,IF(Q194="Moderate",3,IF(Q194="Minor",2,0)))+IF(R194="Severe",4,IF(R194="Moderate",3,IF(R194="Minor",2,0))))/16*100,0),"")</f>
        <v>0</v>
      </c>
      <c r="U194" s="18"/>
      <c r="V194" s="17"/>
      <c r="W194" s="17"/>
      <c r="X194" s="17"/>
      <c r="Y194" s="20" t="n">
        <f aca="false">IFERROR(ROUND(IF(H194&gt;=10,30,IF(H194&gt;=5,20,IF(H194&gt;=2,10,0)))+IF(K194="Yes",20,IF(K194="Unsure",10,0))+IF(U194="Yes",30,IF(U194="Later",15,0))+IFERROR(T194/100*20,0),0),"")</f>
        <v>0</v>
      </c>
      <c r="Z194" s="18" t="str">
        <f aca="false">IFERROR(IF(Y194&gt;=80,"🔥 HOT",IF(Y194&gt;=60,"✅ STRONG",IF(Y194&gt;=40,"⚡ WARM",IF(Y194&gt;=20,"📋 NURTURE",IF(Y194&gt;0,"❌ COLD",""))))),"")</f>
        <v/>
      </c>
      <c r="AA194" s="18" t="str">
        <f aca="false">IFERROR(IF(AND(Y194&gt;=60,OR(U194="Yes",U194="Later")),"🚨 URGENT",IF(AND(Y194&gt;=40,I194="Call Back"),"📞 CALL BACK",IF(I194="Booked Meeting","📅 BOOKED",IF(I194="Not Interested","🚫 DEAD","⏳ WORKING")))),"")</f>
        <v>⏳ WORKING</v>
      </c>
      <c r="AB194" s="21"/>
      <c r="AC194" s="22"/>
      <c r="AD194" s="23" t="str">
        <f aca="true">IFERROR(IF(AC194="","",AC194-TODAY()),"")</f>
        <v/>
      </c>
      <c r="AE194" s="17"/>
    </row>
    <row r="195" customFormat="false" ht="19.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1"/>
      <c r="I195" s="10"/>
      <c r="J195" s="10"/>
      <c r="K195" s="11"/>
      <c r="L195" s="10"/>
      <c r="M195" s="10"/>
      <c r="N195" s="10"/>
      <c r="O195" s="10"/>
      <c r="P195" s="10"/>
      <c r="Q195" s="10"/>
      <c r="R195" s="10"/>
      <c r="S195" s="10"/>
      <c r="T195" s="12" t="n">
        <f aca="false">IFERROR(ROUND((IF(O195="Severe",4,IF(O195="Moderate",3,IF(O195="Minor",2,0)))+IF(P195="Severe",4,IF(P195="Moderate",3,IF(P195="Minor",2,0)))+IF(Q195="Severe",4,IF(Q195="Moderate",3,IF(Q195="Minor",2,0)))+IF(R195="Severe",4,IF(R195="Moderate",3,IF(R195="Minor",2,0))))/16*100,0),"")</f>
        <v>0</v>
      </c>
      <c r="U195" s="11"/>
      <c r="V195" s="10"/>
      <c r="W195" s="10"/>
      <c r="X195" s="10"/>
      <c r="Y195" s="13" t="n">
        <f aca="false">IFERROR(ROUND(IF(H195&gt;=10,30,IF(H195&gt;=5,20,IF(H195&gt;=2,10,0)))+IF(K195="Yes",20,IF(K195="Unsure",10,0))+IF(U195="Yes",30,IF(U195="Later",15,0))+IFERROR(T195/100*20,0),0),"")</f>
        <v>0</v>
      </c>
      <c r="Z195" s="11" t="str">
        <f aca="false">IFERROR(IF(Y195&gt;=80,"🔥 HOT",IF(Y195&gt;=60,"✅ STRONG",IF(Y195&gt;=40,"⚡ WARM",IF(Y195&gt;=20,"📋 NURTURE",IF(Y195&gt;0,"❌ COLD",""))))),"")</f>
        <v/>
      </c>
      <c r="AA195" s="11" t="str">
        <f aca="false">IFERROR(IF(AND(Y195&gt;=60,OR(U195="Yes",U195="Later")),"🚨 URGENT",IF(AND(Y195&gt;=40,I195="Call Back"),"📞 CALL BACK",IF(I195="Booked Meeting","📅 BOOKED",IF(I195="Not Interested","🚫 DEAD","⏳ WORKING")))),"")</f>
        <v>⏳ WORKING</v>
      </c>
      <c r="AB195" s="14"/>
      <c r="AC195" s="15"/>
      <c r="AD195" s="16" t="str">
        <f aca="true">IFERROR(IF(AC195="","",AC195-TODAY()),"")</f>
        <v/>
      </c>
      <c r="AE195" s="10"/>
    </row>
    <row r="196" customFormat="false" ht="19.5" hidden="false" customHeight="true" outlineLevel="0" collapsed="false">
      <c r="A196" s="17"/>
      <c r="B196" s="17"/>
      <c r="C196" s="17"/>
      <c r="D196" s="17"/>
      <c r="E196" s="17"/>
      <c r="F196" s="17"/>
      <c r="G196" s="17"/>
      <c r="H196" s="18"/>
      <c r="I196" s="17"/>
      <c r="J196" s="17"/>
      <c r="K196" s="18"/>
      <c r="L196" s="17"/>
      <c r="M196" s="17"/>
      <c r="N196" s="17"/>
      <c r="O196" s="17"/>
      <c r="P196" s="17"/>
      <c r="Q196" s="17"/>
      <c r="R196" s="17"/>
      <c r="S196" s="17"/>
      <c r="T196" s="19" t="n">
        <f aca="false">IFERROR(ROUND((IF(O196="Severe",4,IF(O196="Moderate",3,IF(O196="Minor",2,0)))+IF(P196="Severe",4,IF(P196="Moderate",3,IF(P196="Minor",2,0)))+IF(Q196="Severe",4,IF(Q196="Moderate",3,IF(Q196="Minor",2,0)))+IF(R196="Severe",4,IF(R196="Moderate",3,IF(R196="Minor",2,0))))/16*100,0),"")</f>
        <v>0</v>
      </c>
      <c r="U196" s="18"/>
      <c r="V196" s="17"/>
      <c r="W196" s="17"/>
      <c r="X196" s="17"/>
      <c r="Y196" s="20" t="n">
        <f aca="false">IFERROR(ROUND(IF(H196&gt;=10,30,IF(H196&gt;=5,20,IF(H196&gt;=2,10,0)))+IF(K196="Yes",20,IF(K196="Unsure",10,0))+IF(U196="Yes",30,IF(U196="Later",15,0))+IFERROR(T196/100*20,0),0),"")</f>
        <v>0</v>
      </c>
      <c r="Z196" s="18" t="str">
        <f aca="false">IFERROR(IF(Y196&gt;=80,"🔥 HOT",IF(Y196&gt;=60,"✅ STRONG",IF(Y196&gt;=40,"⚡ WARM",IF(Y196&gt;=20,"📋 NURTURE",IF(Y196&gt;0,"❌ COLD",""))))),"")</f>
        <v/>
      </c>
      <c r="AA196" s="18" t="str">
        <f aca="false">IFERROR(IF(AND(Y196&gt;=60,OR(U196="Yes",U196="Later")),"🚨 URGENT",IF(AND(Y196&gt;=40,I196="Call Back"),"📞 CALL BACK",IF(I196="Booked Meeting","📅 BOOKED",IF(I196="Not Interested","🚫 DEAD","⏳ WORKING")))),"")</f>
        <v>⏳ WORKING</v>
      </c>
      <c r="AB196" s="21"/>
      <c r="AC196" s="22"/>
      <c r="AD196" s="23" t="str">
        <f aca="true">IFERROR(IF(AC196="","",AC196-TODAY()),"")</f>
        <v/>
      </c>
      <c r="AE196" s="17"/>
    </row>
    <row r="197" customFormat="false" ht="19.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1"/>
      <c r="I197" s="10"/>
      <c r="J197" s="10"/>
      <c r="K197" s="11"/>
      <c r="L197" s="10"/>
      <c r="M197" s="10"/>
      <c r="N197" s="10"/>
      <c r="O197" s="10"/>
      <c r="P197" s="10"/>
      <c r="Q197" s="10"/>
      <c r="R197" s="10"/>
      <c r="S197" s="10"/>
      <c r="T197" s="12" t="n">
        <f aca="false">IFERROR(ROUND((IF(O197="Severe",4,IF(O197="Moderate",3,IF(O197="Minor",2,0)))+IF(P197="Severe",4,IF(P197="Moderate",3,IF(P197="Minor",2,0)))+IF(Q197="Severe",4,IF(Q197="Moderate",3,IF(Q197="Minor",2,0)))+IF(R197="Severe",4,IF(R197="Moderate",3,IF(R197="Minor",2,0))))/16*100,0),"")</f>
        <v>0</v>
      </c>
      <c r="U197" s="11"/>
      <c r="V197" s="10"/>
      <c r="W197" s="10"/>
      <c r="X197" s="10"/>
      <c r="Y197" s="13" t="n">
        <f aca="false">IFERROR(ROUND(IF(H197&gt;=10,30,IF(H197&gt;=5,20,IF(H197&gt;=2,10,0)))+IF(K197="Yes",20,IF(K197="Unsure",10,0))+IF(U197="Yes",30,IF(U197="Later",15,0))+IFERROR(T197/100*20,0),0),"")</f>
        <v>0</v>
      </c>
      <c r="Z197" s="11" t="str">
        <f aca="false">IFERROR(IF(Y197&gt;=80,"🔥 HOT",IF(Y197&gt;=60,"✅ STRONG",IF(Y197&gt;=40,"⚡ WARM",IF(Y197&gt;=20,"📋 NURTURE",IF(Y197&gt;0,"❌ COLD",""))))),"")</f>
        <v/>
      </c>
      <c r="AA197" s="11" t="str">
        <f aca="false">IFERROR(IF(AND(Y197&gt;=60,OR(U197="Yes",U197="Later")),"🚨 URGENT",IF(AND(Y197&gt;=40,I197="Call Back"),"📞 CALL BACK",IF(I197="Booked Meeting","📅 BOOKED",IF(I197="Not Interested","🚫 DEAD","⏳ WORKING")))),"")</f>
        <v>⏳ WORKING</v>
      </c>
      <c r="AB197" s="14"/>
      <c r="AC197" s="15"/>
      <c r="AD197" s="16" t="str">
        <f aca="true">IFERROR(IF(AC197="","",AC197-TODAY()),"")</f>
        <v/>
      </c>
      <c r="AE197" s="10"/>
    </row>
    <row r="198" customFormat="false" ht="19.5" hidden="false" customHeight="true" outlineLevel="0" collapsed="false">
      <c r="A198" s="17"/>
      <c r="B198" s="17"/>
      <c r="C198" s="17"/>
      <c r="D198" s="17"/>
      <c r="E198" s="17"/>
      <c r="F198" s="17"/>
      <c r="G198" s="17"/>
      <c r="H198" s="18"/>
      <c r="I198" s="17"/>
      <c r="J198" s="17"/>
      <c r="K198" s="18"/>
      <c r="L198" s="17"/>
      <c r="M198" s="17"/>
      <c r="N198" s="17"/>
      <c r="O198" s="17"/>
      <c r="P198" s="17"/>
      <c r="Q198" s="17"/>
      <c r="R198" s="17"/>
      <c r="S198" s="17"/>
      <c r="T198" s="19" t="n">
        <f aca="false">IFERROR(ROUND((IF(O198="Severe",4,IF(O198="Moderate",3,IF(O198="Minor",2,0)))+IF(P198="Severe",4,IF(P198="Moderate",3,IF(P198="Minor",2,0)))+IF(Q198="Severe",4,IF(Q198="Moderate",3,IF(Q198="Minor",2,0)))+IF(R198="Severe",4,IF(R198="Moderate",3,IF(R198="Minor",2,0))))/16*100,0),"")</f>
        <v>0</v>
      </c>
      <c r="U198" s="18"/>
      <c r="V198" s="17"/>
      <c r="W198" s="17"/>
      <c r="X198" s="17"/>
      <c r="Y198" s="20" t="n">
        <f aca="false">IFERROR(ROUND(IF(H198&gt;=10,30,IF(H198&gt;=5,20,IF(H198&gt;=2,10,0)))+IF(K198="Yes",20,IF(K198="Unsure",10,0))+IF(U198="Yes",30,IF(U198="Later",15,0))+IFERROR(T198/100*20,0),0),"")</f>
        <v>0</v>
      </c>
      <c r="Z198" s="18" t="str">
        <f aca="false">IFERROR(IF(Y198&gt;=80,"🔥 HOT",IF(Y198&gt;=60,"✅ STRONG",IF(Y198&gt;=40,"⚡ WARM",IF(Y198&gt;=20,"📋 NURTURE",IF(Y198&gt;0,"❌ COLD",""))))),"")</f>
        <v/>
      </c>
      <c r="AA198" s="18" t="str">
        <f aca="false">IFERROR(IF(AND(Y198&gt;=60,OR(U198="Yes",U198="Later")),"🚨 URGENT",IF(AND(Y198&gt;=40,I198="Call Back"),"📞 CALL BACK",IF(I198="Booked Meeting","📅 BOOKED",IF(I198="Not Interested","🚫 DEAD","⏳ WORKING")))),"")</f>
        <v>⏳ WORKING</v>
      </c>
      <c r="AB198" s="21"/>
      <c r="AC198" s="22"/>
      <c r="AD198" s="23" t="str">
        <f aca="true">IFERROR(IF(AC198="","",AC198-TODAY()),"")</f>
        <v/>
      </c>
      <c r="AE198" s="17"/>
    </row>
    <row r="199" customFormat="false" ht="19.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1"/>
      <c r="I199" s="10"/>
      <c r="J199" s="10"/>
      <c r="K199" s="11"/>
      <c r="L199" s="10"/>
      <c r="M199" s="10"/>
      <c r="N199" s="10"/>
      <c r="O199" s="10"/>
      <c r="P199" s="10"/>
      <c r="Q199" s="10"/>
      <c r="R199" s="10"/>
      <c r="S199" s="10"/>
      <c r="T199" s="12" t="n">
        <f aca="false">IFERROR(ROUND((IF(O199="Severe",4,IF(O199="Moderate",3,IF(O199="Minor",2,0)))+IF(P199="Severe",4,IF(P199="Moderate",3,IF(P199="Minor",2,0)))+IF(Q199="Severe",4,IF(Q199="Moderate",3,IF(Q199="Minor",2,0)))+IF(R199="Severe",4,IF(R199="Moderate",3,IF(R199="Minor",2,0))))/16*100,0),"")</f>
        <v>0</v>
      </c>
      <c r="U199" s="11"/>
      <c r="V199" s="10"/>
      <c r="W199" s="10"/>
      <c r="X199" s="10"/>
      <c r="Y199" s="13" t="n">
        <f aca="false">IFERROR(ROUND(IF(H199&gt;=10,30,IF(H199&gt;=5,20,IF(H199&gt;=2,10,0)))+IF(K199="Yes",20,IF(K199="Unsure",10,0))+IF(U199="Yes",30,IF(U199="Later",15,0))+IFERROR(T199/100*20,0),0),"")</f>
        <v>0</v>
      </c>
      <c r="Z199" s="11" t="str">
        <f aca="false">IFERROR(IF(Y199&gt;=80,"🔥 HOT",IF(Y199&gt;=60,"✅ STRONG",IF(Y199&gt;=40,"⚡ WARM",IF(Y199&gt;=20,"📋 NURTURE",IF(Y199&gt;0,"❌ COLD",""))))),"")</f>
        <v/>
      </c>
      <c r="AA199" s="11" t="str">
        <f aca="false">IFERROR(IF(AND(Y199&gt;=60,OR(U199="Yes",U199="Later")),"🚨 URGENT",IF(AND(Y199&gt;=40,I199="Call Back"),"📞 CALL BACK",IF(I199="Booked Meeting","📅 BOOKED",IF(I199="Not Interested","🚫 DEAD","⏳ WORKING")))),"")</f>
        <v>⏳ WORKING</v>
      </c>
      <c r="AB199" s="14"/>
      <c r="AC199" s="15"/>
      <c r="AD199" s="16" t="str">
        <f aca="true">IFERROR(IF(AC199="","",AC199-TODAY()),"")</f>
        <v/>
      </c>
      <c r="AE199" s="10"/>
    </row>
    <row r="200" customFormat="false" ht="19.5" hidden="false" customHeight="true" outlineLevel="0" collapsed="false">
      <c r="A200" s="17"/>
      <c r="B200" s="17"/>
      <c r="C200" s="17"/>
      <c r="D200" s="17"/>
      <c r="E200" s="17"/>
      <c r="F200" s="17"/>
      <c r="G200" s="17"/>
      <c r="H200" s="18"/>
      <c r="I200" s="17"/>
      <c r="J200" s="17"/>
      <c r="K200" s="18"/>
      <c r="L200" s="17"/>
      <c r="M200" s="17"/>
      <c r="N200" s="17"/>
      <c r="O200" s="17"/>
      <c r="P200" s="17"/>
      <c r="Q200" s="17"/>
      <c r="R200" s="17"/>
      <c r="S200" s="17"/>
      <c r="T200" s="19" t="n">
        <f aca="false">IFERROR(ROUND((IF(O200="Severe",4,IF(O200="Moderate",3,IF(O200="Minor",2,0)))+IF(P200="Severe",4,IF(P200="Moderate",3,IF(P200="Minor",2,0)))+IF(Q200="Severe",4,IF(Q200="Moderate",3,IF(Q200="Minor",2,0)))+IF(R200="Severe",4,IF(R200="Moderate",3,IF(R200="Minor",2,0))))/16*100,0),"")</f>
        <v>0</v>
      </c>
      <c r="U200" s="18"/>
      <c r="V200" s="17"/>
      <c r="W200" s="17"/>
      <c r="X200" s="17"/>
      <c r="Y200" s="20" t="n">
        <f aca="false">IFERROR(ROUND(IF(H200&gt;=10,30,IF(H200&gt;=5,20,IF(H200&gt;=2,10,0)))+IF(K200="Yes",20,IF(K200="Unsure",10,0))+IF(U200="Yes",30,IF(U200="Later",15,0))+IFERROR(T200/100*20,0),0),"")</f>
        <v>0</v>
      </c>
      <c r="Z200" s="18" t="str">
        <f aca="false">IFERROR(IF(Y200&gt;=80,"🔥 HOT",IF(Y200&gt;=60,"✅ STRONG",IF(Y200&gt;=40,"⚡ WARM",IF(Y200&gt;=20,"📋 NURTURE",IF(Y200&gt;0,"❌ COLD",""))))),"")</f>
        <v/>
      </c>
      <c r="AA200" s="18" t="str">
        <f aca="false">IFERROR(IF(AND(Y200&gt;=60,OR(U200="Yes",U200="Later")),"🚨 URGENT",IF(AND(Y200&gt;=40,I200="Call Back"),"📞 CALL BACK",IF(I200="Booked Meeting","📅 BOOKED",IF(I200="Not Interested","🚫 DEAD","⏳ WORKING")))),"")</f>
        <v>⏳ WORKING</v>
      </c>
      <c r="AB200" s="21"/>
      <c r="AC200" s="22"/>
      <c r="AD200" s="23" t="str">
        <f aca="true">IFERROR(IF(AC200="","",AC200-TODAY()),"")</f>
        <v/>
      </c>
      <c r="AE200" s="17"/>
    </row>
    <row r="201" customFormat="false" ht="19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1"/>
      <c r="I201" s="10"/>
      <c r="J201" s="10"/>
      <c r="K201" s="11"/>
      <c r="L201" s="10"/>
      <c r="M201" s="10"/>
      <c r="N201" s="10"/>
      <c r="O201" s="10"/>
      <c r="P201" s="10"/>
      <c r="Q201" s="10"/>
      <c r="R201" s="10"/>
      <c r="S201" s="10"/>
      <c r="T201" s="12" t="n">
        <f aca="false">IFERROR(ROUND((IF(O201="Severe",4,IF(O201="Moderate",3,IF(O201="Minor",2,0)))+IF(P201="Severe",4,IF(P201="Moderate",3,IF(P201="Minor",2,0)))+IF(Q201="Severe",4,IF(Q201="Moderate",3,IF(Q201="Minor",2,0)))+IF(R201="Severe",4,IF(R201="Moderate",3,IF(R201="Minor",2,0))))/16*100,0),"")</f>
        <v>0</v>
      </c>
      <c r="U201" s="11"/>
      <c r="V201" s="10"/>
      <c r="W201" s="10"/>
      <c r="X201" s="10"/>
      <c r="Y201" s="13" t="n">
        <f aca="false">IFERROR(ROUND(IF(H201&gt;=10,30,IF(H201&gt;=5,20,IF(H201&gt;=2,10,0)))+IF(K201="Yes",20,IF(K201="Unsure",10,0))+IF(U201="Yes",30,IF(U201="Later",15,0))+IFERROR(T201/100*20,0),0),"")</f>
        <v>0</v>
      </c>
      <c r="Z201" s="11" t="str">
        <f aca="false">IFERROR(IF(Y201&gt;=80,"🔥 HOT",IF(Y201&gt;=60,"✅ STRONG",IF(Y201&gt;=40,"⚡ WARM",IF(Y201&gt;=20,"📋 NURTURE",IF(Y201&gt;0,"❌ COLD",""))))),"")</f>
        <v/>
      </c>
      <c r="AA201" s="11" t="str">
        <f aca="false">IFERROR(IF(AND(Y201&gt;=60,OR(U201="Yes",U201="Later")),"🚨 URGENT",IF(AND(Y201&gt;=40,I201="Call Back"),"📞 CALL BACK",IF(I201="Booked Meeting","📅 BOOKED",IF(I201="Not Interested","🚫 DEAD","⏳ WORKING")))),"")</f>
        <v>⏳ WORKING</v>
      </c>
      <c r="AB201" s="14"/>
      <c r="AC201" s="15"/>
      <c r="AD201" s="16" t="str">
        <f aca="true">IFERROR(IF(AC201="","",AC201-TODAY()),"")</f>
        <v/>
      </c>
      <c r="AE201" s="10"/>
    </row>
    <row r="202" customFormat="false" ht="19.5" hidden="false" customHeight="true" outlineLevel="0" collapsed="false">
      <c r="A202" s="17"/>
      <c r="B202" s="17"/>
      <c r="C202" s="17"/>
      <c r="D202" s="17"/>
      <c r="E202" s="17"/>
      <c r="F202" s="17"/>
      <c r="G202" s="17"/>
      <c r="H202" s="18"/>
      <c r="I202" s="17"/>
      <c r="J202" s="17"/>
      <c r="K202" s="18"/>
      <c r="L202" s="17"/>
      <c r="M202" s="17"/>
      <c r="N202" s="17"/>
      <c r="O202" s="17"/>
      <c r="P202" s="17"/>
      <c r="Q202" s="17"/>
      <c r="R202" s="17"/>
      <c r="S202" s="17"/>
      <c r="T202" s="19" t="n">
        <f aca="false">IFERROR(ROUND((IF(O202="Severe",4,IF(O202="Moderate",3,IF(O202="Minor",2,0)))+IF(P202="Severe",4,IF(P202="Moderate",3,IF(P202="Minor",2,0)))+IF(Q202="Severe",4,IF(Q202="Moderate",3,IF(Q202="Minor",2,0)))+IF(R202="Severe",4,IF(R202="Moderate",3,IF(R202="Minor",2,0))))/16*100,0),"")</f>
        <v>0</v>
      </c>
      <c r="U202" s="18"/>
      <c r="V202" s="17"/>
      <c r="W202" s="17"/>
      <c r="X202" s="17"/>
      <c r="Y202" s="20" t="n">
        <f aca="false">IFERROR(ROUND(IF(H202&gt;=10,30,IF(H202&gt;=5,20,IF(H202&gt;=2,10,0)))+IF(K202="Yes",20,IF(K202="Unsure",10,0))+IF(U202="Yes",30,IF(U202="Later",15,0))+IFERROR(T202/100*20,0),0),"")</f>
        <v>0</v>
      </c>
      <c r="Z202" s="18" t="str">
        <f aca="false">IFERROR(IF(Y202&gt;=80,"🔥 HOT",IF(Y202&gt;=60,"✅ STRONG",IF(Y202&gt;=40,"⚡ WARM",IF(Y202&gt;=20,"📋 NURTURE",IF(Y202&gt;0,"❌ COLD",""))))),"")</f>
        <v/>
      </c>
      <c r="AA202" s="18" t="str">
        <f aca="false">IFERROR(IF(AND(Y202&gt;=60,OR(U202="Yes",U202="Later")),"🚨 URGENT",IF(AND(Y202&gt;=40,I202="Call Back"),"📞 CALL BACK",IF(I202="Booked Meeting","📅 BOOKED",IF(I202="Not Interested","🚫 DEAD","⏳ WORKING")))),"")</f>
        <v>⏳ WORKING</v>
      </c>
      <c r="AB202" s="21"/>
      <c r="AC202" s="22"/>
      <c r="AD202" s="23" t="str">
        <f aca="true">IFERROR(IF(AC202="","",AC202-TODAY()),"")</f>
        <v/>
      </c>
      <c r="AE202" s="17"/>
    </row>
    <row r="203" customFormat="false" ht="19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1"/>
      <c r="I203" s="10"/>
      <c r="J203" s="10"/>
      <c r="K203" s="11"/>
      <c r="L203" s="10"/>
      <c r="M203" s="10"/>
      <c r="N203" s="10"/>
      <c r="O203" s="10"/>
      <c r="P203" s="10"/>
      <c r="Q203" s="10"/>
      <c r="R203" s="10"/>
      <c r="S203" s="10"/>
      <c r="T203" s="12" t="n">
        <f aca="false">IFERROR(ROUND((IF(O203="Severe",4,IF(O203="Moderate",3,IF(O203="Minor",2,0)))+IF(P203="Severe",4,IF(P203="Moderate",3,IF(P203="Minor",2,0)))+IF(Q203="Severe",4,IF(Q203="Moderate",3,IF(Q203="Minor",2,0)))+IF(R203="Severe",4,IF(R203="Moderate",3,IF(R203="Minor",2,0))))/16*100,0),"")</f>
        <v>0</v>
      </c>
      <c r="U203" s="11"/>
      <c r="V203" s="10"/>
      <c r="W203" s="10"/>
      <c r="X203" s="10"/>
      <c r="Y203" s="13" t="n">
        <f aca="false">IFERROR(ROUND(IF(H203&gt;=10,30,IF(H203&gt;=5,20,IF(H203&gt;=2,10,0)))+IF(K203="Yes",20,IF(K203="Unsure",10,0))+IF(U203="Yes",30,IF(U203="Later",15,0))+IFERROR(T203/100*20,0),0),"")</f>
        <v>0</v>
      </c>
      <c r="Z203" s="11" t="str">
        <f aca="false">IFERROR(IF(Y203&gt;=80,"🔥 HOT",IF(Y203&gt;=60,"✅ STRONG",IF(Y203&gt;=40,"⚡ WARM",IF(Y203&gt;=20,"📋 NURTURE",IF(Y203&gt;0,"❌ COLD",""))))),"")</f>
        <v/>
      </c>
      <c r="AA203" s="11" t="str">
        <f aca="false">IFERROR(IF(AND(Y203&gt;=60,OR(U203="Yes",U203="Later")),"🚨 URGENT",IF(AND(Y203&gt;=40,I203="Call Back"),"📞 CALL BACK",IF(I203="Booked Meeting","📅 BOOKED",IF(I203="Not Interested","🚫 DEAD","⏳ WORKING")))),"")</f>
        <v>⏳ WORKING</v>
      </c>
      <c r="AB203" s="14"/>
      <c r="AC203" s="15"/>
      <c r="AD203" s="16" t="str">
        <f aca="true">IFERROR(IF(AC203="","",AC203-TODAY()),"")</f>
        <v/>
      </c>
      <c r="AE203" s="10"/>
    </row>
    <row r="204" customFormat="false" ht="19.5" hidden="false" customHeight="true" outlineLevel="0" collapsed="false">
      <c r="A204" s="17"/>
      <c r="B204" s="17"/>
      <c r="C204" s="17"/>
      <c r="D204" s="17"/>
      <c r="E204" s="17"/>
      <c r="F204" s="17"/>
      <c r="G204" s="17"/>
      <c r="H204" s="18"/>
      <c r="I204" s="17"/>
      <c r="J204" s="17"/>
      <c r="K204" s="18"/>
      <c r="L204" s="17"/>
      <c r="M204" s="17"/>
      <c r="N204" s="17"/>
      <c r="O204" s="17"/>
      <c r="P204" s="17"/>
      <c r="Q204" s="17"/>
      <c r="R204" s="17"/>
      <c r="S204" s="17"/>
      <c r="T204" s="19" t="n">
        <f aca="false">IFERROR(ROUND((IF(O204="Severe",4,IF(O204="Moderate",3,IF(O204="Minor",2,0)))+IF(P204="Severe",4,IF(P204="Moderate",3,IF(P204="Minor",2,0)))+IF(Q204="Severe",4,IF(Q204="Moderate",3,IF(Q204="Minor",2,0)))+IF(R204="Severe",4,IF(R204="Moderate",3,IF(R204="Minor",2,0))))/16*100,0),"")</f>
        <v>0</v>
      </c>
      <c r="U204" s="18"/>
      <c r="V204" s="17"/>
      <c r="W204" s="17"/>
      <c r="X204" s="17"/>
      <c r="Y204" s="20" t="n">
        <f aca="false">IFERROR(ROUND(IF(H204&gt;=10,30,IF(H204&gt;=5,20,IF(H204&gt;=2,10,0)))+IF(K204="Yes",20,IF(K204="Unsure",10,0))+IF(U204="Yes",30,IF(U204="Later",15,0))+IFERROR(T204/100*20,0),0),"")</f>
        <v>0</v>
      </c>
      <c r="Z204" s="18" t="str">
        <f aca="false">IFERROR(IF(Y204&gt;=80,"🔥 HOT",IF(Y204&gt;=60,"✅ STRONG",IF(Y204&gt;=40,"⚡ WARM",IF(Y204&gt;=20,"📋 NURTURE",IF(Y204&gt;0,"❌ COLD",""))))),"")</f>
        <v/>
      </c>
      <c r="AA204" s="18" t="str">
        <f aca="false">IFERROR(IF(AND(Y204&gt;=60,OR(U204="Yes",U204="Later")),"🚨 URGENT",IF(AND(Y204&gt;=40,I204="Call Back"),"📞 CALL BACK",IF(I204="Booked Meeting","📅 BOOKED",IF(I204="Not Interested","🚫 DEAD","⏳ WORKING")))),"")</f>
        <v>⏳ WORKING</v>
      </c>
      <c r="AB204" s="21"/>
      <c r="AC204" s="22"/>
      <c r="AD204" s="23" t="str">
        <f aca="true">IFERROR(IF(AC204="","",AC204-TODAY()),"")</f>
        <v/>
      </c>
      <c r="AE204" s="17"/>
    </row>
  </sheetData>
  <mergeCells count="7">
    <mergeCell ref="A1:AE1"/>
    <mergeCell ref="A2:H2"/>
    <mergeCell ref="I2:N2"/>
    <mergeCell ref="O2:T2"/>
    <mergeCell ref="U2:X2"/>
    <mergeCell ref="Y2:AA2"/>
    <mergeCell ref="AB2:AE2"/>
  </mergeCells>
  <conditionalFormatting sqref="Y5:Y204">
    <cfRule type="colorScale" priority="2">
      <colorScale>
        <cfvo type="num" val="0"/>
        <cfvo type="num" val="50"/>
        <cfvo type="num" val="100"/>
        <color rgb="FFEF4444"/>
        <color rgb="FFF59E0B"/>
        <color rgb="FF21E68A"/>
      </colorScale>
    </cfRule>
  </conditionalFormatting>
  <conditionalFormatting sqref="T5:T204">
    <cfRule type="colorScale" priority="3">
      <colorScale>
        <cfvo type="num" val="0"/>
        <cfvo type="num" val="50"/>
        <cfvo type="num" val="100"/>
        <color rgb="FF3B82F6"/>
        <color rgb="FFF59E0B"/>
        <color rgb="FFEF4444"/>
      </colorScale>
    </cfRule>
  </conditionalFormatting>
  <conditionalFormatting sqref="AD5:AD204">
    <cfRule type="cellIs" priority="4" operator="lessThan" aboveAverage="0" equalAverage="0" bottom="0" percent="0" rank="0" text="" dxfId="0">
      <formula>1</formula>
    </cfRule>
    <cfRule type="cellIs" priority="5" operator="between" aboveAverage="0" equalAverage="0" bottom="0" percent="0" rank="0" text="" dxfId="1">
      <formula>0</formula>
      <formula>3</formula>
    </cfRule>
  </conditionalFormatting>
  <conditionalFormatting sqref="A5:AE204">
    <cfRule type="expression" priority="6" aboveAverage="0" equalAverage="0" bottom="0" percent="0" rank="0" text="" dxfId="2">
      <formula>$Y5&gt;=80</formula>
    </cfRule>
  </conditionalFormatting>
  <dataValidations count="11">
    <dataValidation allowBlank="false" errorStyle="stop" operator="between" showDropDown="false" showErrorMessage="false" showInputMessage="false" sqref="I5:I204" type="list">
      <formula1>"Not Called,Answered,No Answer,Left Voicemail,Bad Number,Call Back,Booked Meeting,Not Interested"</formula1>
      <formula2>0</formula2>
    </dataValidation>
    <dataValidation allowBlank="false" errorStyle="stop" operator="between" showDropDown="false" showErrorMessage="false" showInputMessage="false" sqref="K5:K204" type="list">
      <formula1>"Yes,No,Unsure"</formula1>
      <formula2>0</formula2>
    </dataValidation>
    <dataValidation allowBlank="false" errorStyle="stop" operator="between" showDropDown="false" showErrorMessage="false" showInputMessage="false" sqref="L5:L204" type="list">
      <formula1>"Interested,Open But Busy,Neutral,Not Interested,Hostile"</formula1>
      <formula2>0</formula2>
    </dataValidation>
    <dataValidation allowBlank="false" errorStyle="stop" operator="between" showDropDown="false" showErrorMessage="false" showInputMessage="false" sqref="M5:M204" type="list">
      <formula1>"Recruiting,Retention,Operations/System,Revenue/Cash Flow,Lead Flow,Scheduling,Training,No Clear Pain Point"</formula1>
      <formula2>0</formula2>
    </dataValidation>
    <dataValidation allowBlank="false" errorStyle="stop" operator="between" showDropDown="false" showErrorMessage="false" showInputMessage="false" sqref="O5:O204" type="list">
      <formula1>"Severe,Moderate,Minor,None"</formula1>
      <formula2>0</formula2>
    </dataValidation>
    <dataValidation allowBlank="false" errorStyle="stop" operator="between" showDropDown="false" showErrorMessage="false" showInputMessage="false" sqref="P5:P204" type="list">
      <formula1>"Severe,Moderate,Minor,None"</formula1>
      <formula2>0</formula2>
    </dataValidation>
    <dataValidation allowBlank="false" errorStyle="stop" operator="between" showDropDown="false" showErrorMessage="false" showInputMessage="false" sqref="Q5:Q204" type="list">
      <formula1>"Severe,Moderate,Minor,None"</formula1>
      <formula2>0</formula2>
    </dataValidation>
    <dataValidation allowBlank="false" errorStyle="stop" operator="between" showDropDown="false" showErrorMessage="false" showInputMessage="false" sqref="R5:R204" type="list">
      <formula1>"Severe,Moderate,Minor,None"</formula1>
      <formula2>0</formula2>
    </dataValidation>
    <dataValidation allowBlank="false" errorStyle="stop" operator="between" showDropDown="false" showErrorMessage="false" showInputMessage="false" sqref="U5:U204" type="list">
      <formula1>"Yes,No,Later"</formula1>
      <formula2>0</formula2>
    </dataValidation>
    <dataValidation allowBlank="false" errorStyle="stop" operator="between" showDropDown="false" showErrorMessage="false" showInputMessage="false" sqref="V5:V204" type="list">
      <formula1>"Zoom,In Person,Phone,None Yet"</formula1>
      <formula2>0</formula2>
    </dataValidation>
    <dataValidation allowBlank="false" errorStyle="stop" operator="between" showDropDown="false" showErrorMessage="false" showInputMessage="false" sqref="X5:X204" type="list">
      <formula1>"Send Text,Send Email,Call Back,Book Zoom,Book In Person,Disqualified,Nurture Later"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M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3" min="12" style="0" width="12"/>
  </cols>
  <sheetData>
    <row r="1" customFormat="false" ht="36" hidden="false" customHeight="true" outlineLevel="0" collapsed="false">
      <c r="A1" s="24" t="s">
        <v>38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8" hidden="false" customHeight="true" outlineLevel="0" collapsed="false">
      <c r="A2" s="25" t="s">
        <v>39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customFormat="false" ht="27.75" hidden="false" customHeight="true" outlineLevel="0" collapsed="false">
      <c r="A3" s="26" t="s">
        <v>33</v>
      </c>
      <c r="B3" s="26" t="s">
        <v>40</v>
      </c>
      <c r="C3" s="26" t="s">
        <v>41</v>
      </c>
      <c r="D3" s="26" t="s">
        <v>8</v>
      </c>
      <c r="E3" s="26" t="s">
        <v>14</v>
      </c>
      <c r="F3" s="26" t="s">
        <v>31</v>
      </c>
      <c r="G3" s="26" t="s">
        <v>32</v>
      </c>
      <c r="H3" s="26" t="s">
        <v>26</v>
      </c>
      <c r="I3" s="26" t="s">
        <v>27</v>
      </c>
      <c r="J3" s="26" t="s">
        <v>30</v>
      </c>
      <c r="K3" s="26" t="s">
        <v>35</v>
      </c>
      <c r="L3" s="26" t="s">
        <v>42</v>
      </c>
      <c r="M3" s="26" t="s">
        <v>37</v>
      </c>
    </row>
    <row r="4" customFormat="false" ht="19.5" hidden="false" customHeight="true" outlineLevel="0" collapsed="false">
      <c r="A4" s="17" t="str">
        <f aca="false">IFERROR(INDEX('⚡ COMMAND TRACKER'!$AA$5:$AA$204,MATCH(LARGE('⚡ COMMAND TRACKER'!$Y$5:$Y$204,1),'⚡ COMMAND TRACKER'!$Y$5:$Y$204,0)),"")</f>
        <v>⏳ WORKING</v>
      </c>
      <c r="B4" s="17" t="n">
        <f aca="false">IFERROR(INDEX('⚡ COMMAND TRACKER'!$A$5:$A$204,MATCH(LARGE('⚡ COMMAND TRACKER'!$Y$5:$Y$204,1),'⚡ COMMAND TRACKER'!$Y$5:$Y$204,0)),"")</f>
        <v>0</v>
      </c>
      <c r="C4" s="17" t="n">
        <f aca="false">IFERROR(INDEX('⚡ COMMAND TRACKER'!$E$5:$E$204,MATCH(LARGE('⚡ COMMAND TRACKER'!$Y$5:$Y$204,1),'⚡ COMMAND TRACKER'!$Y$5:$Y$204,0)),"")</f>
        <v>0</v>
      </c>
      <c r="D4" s="27" t="n">
        <f aca="false">IFERROR(INDEX('⚡ COMMAND TRACKER'!$B$5:$B$204,MATCH(LARGE('⚡ COMMAND TRACKER'!$Y$5:$Y$204,1),'⚡ COMMAND TRACKER'!$Y$5:$Y$204,0)),"")</f>
        <v>0</v>
      </c>
      <c r="E4" s="17" t="n">
        <f aca="false">IFERROR(INDEX('⚡ COMMAND TRACKER'!$H$5:$H$204,MATCH(LARGE('⚡ COMMAND TRACKER'!$Y$5:$Y$204,1),'⚡ COMMAND TRACKER'!$Y$5:$Y$204,0)),"")</f>
        <v>0</v>
      </c>
      <c r="F4" s="28" t="n">
        <f aca="false">IFERROR(LARGE('⚡ COMMAND TRACKER'!$Y$5:$Y$204,1),"")</f>
        <v>0</v>
      </c>
      <c r="G4" s="18" t="str">
        <f aca="false">IFERROR(INDEX('⚡ COMMAND TRACKER'!$Z$5:$Z$204,MATCH(LARGE('⚡ COMMAND TRACKER'!$Y$5:$Y$204,1),'⚡ COMMAND TRACKER'!$Y$5:$Y$204,0)),"")</f>
        <v/>
      </c>
      <c r="H4" s="29" t="n">
        <f aca="false">IFERROR(INDEX('⚡ COMMAND TRACKER'!$T$5:$T$204,MATCH(LARGE('⚡ COMMAND TRACKER'!$Y$5:$Y$204,1),'⚡ COMMAND TRACKER'!$Y$5:$Y$204,0)),"")</f>
        <v>0</v>
      </c>
      <c r="I4" s="18" t="n">
        <f aca="false">IFERROR(INDEX('⚡ COMMAND TRACKER'!$U$5:$U$204,MATCH(LARGE('⚡ COMMAND TRACKER'!$Y$5:$Y$204,1),'⚡ COMMAND TRACKER'!$Y$5:$Y$204,0)),"")</f>
        <v>0</v>
      </c>
      <c r="J4" s="17" t="n">
        <f aca="false">IFERROR(INDEX('⚡ COMMAND TRACKER'!$X$5:$X$204,MATCH(LARGE('⚡ COMMAND TRACKER'!$Y$5:$Y$204,1),'⚡ COMMAND TRACKER'!$Y$5:$Y$204,0)),"")</f>
        <v>0</v>
      </c>
      <c r="K4" s="21" t="n">
        <f aca="false">IFERROR(INDEX('⚡ COMMAND TRACKER'!$AC$5:$AC$204,MATCH(LARGE('⚡ COMMAND TRACKER'!$Y$5:$Y$204,1),'⚡ COMMAND TRACKER'!$Y$5:$Y$204,0)),"")</f>
        <v>0</v>
      </c>
      <c r="L4" s="23" t="str">
        <f aca="true">IFERROR(IF(K4="","",K4-TODAY()),"")</f>
        <v/>
      </c>
      <c r="M4" s="17" t="n">
        <f aca="false">IFERROR(INDEX('⚡ COMMAND TRACKER'!$AE$5:$AE$204,MATCH(LARGE('⚡ COMMAND TRACKER'!$Y$5:$Y$204,1),'⚡ COMMAND TRACKER'!$Y$5:$Y$204,0)),"")</f>
        <v>0</v>
      </c>
    </row>
    <row r="5" customFormat="false" ht="19.5" hidden="false" customHeight="true" outlineLevel="0" collapsed="false">
      <c r="A5" s="10" t="str">
        <f aca="false">IFERROR(INDEX('⚡ COMMAND TRACKER'!$AA$5:$AA$204,MATCH(LARGE('⚡ COMMAND TRACKER'!$Y$5:$Y$204,2),'⚡ COMMAND TRACKER'!$Y$5:$Y$204,0)),"")</f>
        <v>⏳ WORKING</v>
      </c>
      <c r="B5" s="10" t="n">
        <f aca="false">IFERROR(INDEX('⚡ COMMAND TRACKER'!$A$5:$A$204,MATCH(LARGE('⚡ COMMAND TRACKER'!$Y$5:$Y$204,2),'⚡ COMMAND TRACKER'!$Y$5:$Y$204,0)),"")</f>
        <v>0</v>
      </c>
      <c r="C5" s="10" t="n">
        <f aca="false">IFERROR(INDEX('⚡ COMMAND TRACKER'!$E$5:$E$204,MATCH(LARGE('⚡ COMMAND TRACKER'!$Y$5:$Y$204,2),'⚡ COMMAND TRACKER'!$Y$5:$Y$204,0)),"")</f>
        <v>0</v>
      </c>
      <c r="D5" s="30" t="n">
        <f aca="false">IFERROR(INDEX('⚡ COMMAND TRACKER'!$B$5:$B$204,MATCH(LARGE('⚡ COMMAND TRACKER'!$Y$5:$Y$204,2),'⚡ COMMAND TRACKER'!$Y$5:$Y$204,0)),"")</f>
        <v>0</v>
      </c>
      <c r="E5" s="10" t="n">
        <f aca="false">IFERROR(INDEX('⚡ COMMAND TRACKER'!$H$5:$H$204,MATCH(LARGE('⚡ COMMAND TRACKER'!$Y$5:$Y$204,2),'⚡ COMMAND TRACKER'!$Y$5:$Y$204,0)),"")</f>
        <v>0</v>
      </c>
      <c r="F5" s="31" t="n">
        <f aca="false">IFERROR(LARGE('⚡ COMMAND TRACKER'!$Y$5:$Y$204,2),"")</f>
        <v>0</v>
      </c>
      <c r="G5" s="11" t="str">
        <f aca="false">IFERROR(INDEX('⚡ COMMAND TRACKER'!$Z$5:$Z$204,MATCH(LARGE('⚡ COMMAND TRACKER'!$Y$5:$Y$204,2),'⚡ COMMAND TRACKER'!$Y$5:$Y$204,0)),"")</f>
        <v/>
      </c>
      <c r="H5" s="32" t="n">
        <f aca="false">IFERROR(INDEX('⚡ COMMAND TRACKER'!$T$5:$T$204,MATCH(LARGE('⚡ COMMAND TRACKER'!$Y$5:$Y$204,2),'⚡ COMMAND TRACKER'!$Y$5:$Y$204,0)),"")</f>
        <v>0</v>
      </c>
      <c r="I5" s="11" t="n">
        <f aca="false">IFERROR(INDEX('⚡ COMMAND TRACKER'!$U$5:$U$204,MATCH(LARGE('⚡ COMMAND TRACKER'!$Y$5:$Y$204,2),'⚡ COMMAND TRACKER'!$Y$5:$Y$204,0)),"")</f>
        <v>0</v>
      </c>
      <c r="J5" s="10" t="n">
        <f aca="false">IFERROR(INDEX('⚡ COMMAND TRACKER'!$X$5:$X$204,MATCH(LARGE('⚡ COMMAND TRACKER'!$Y$5:$Y$204,2),'⚡ COMMAND TRACKER'!$Y$5:$Y$204,0)),"")</f>
        <v>0</v>
      </c>
      <c r="K5" s="14" t="n">
        <f aca="false">IFERROR(INDEX('⚡ COMMAND TRACKER'!$AC$5:$AC$204,MATCH(LARGE('⚡ COMMAND TRACKER'!$Y$5:$Y$204,2),'⚡ COMMAND TRACKER'!$Y$5:$Y$204,0)),"")</f>
        <v>0</v>
      </c>
      <c r="L5" s="16" t="str">
        <f aca="true">IFERROR(IF(K5="","",K5-TODAY()),"")</f>
        <v/>
      </c>
      <c r="M5" s="10" t="n">
        <f aca="false">IFERROR(INDEX('⚡ COMMAND TRACKER'!$AE$5:$AE$204,MATCH(LARGE('⚡ COMMAND TRACKER'!$Y$5:$Y$204,2),'⚡ COMMAND TRACKER'!$Y$5:$Y$204,0)),"")</f>
        <v>0</v>
      </c>
    </row>
    <row r="6" customFormat="false" ht="19.5" hidden="false" customHeight="true" outlineLevel="0" collapsed="false">
      <c r="A6" s="17" t="str">
        <f aca="false">IFERROR(INDEX('⚡ COMMAND TRACKER'!$AA$5:$AA$204,MATCH(LARGE('⚡ COMMAND TRACKER'!$Y$5:$Y$204,3),'⚡ COMMAND TRACKER'!$Y$5:$Y$204,0)),"")</f>
        <v>⏳ WORKING</v>
      </c>
      <c r="B6" s="17" t="n">
        <f aca="false">IFERROR(INDEX('⚡ COMMAND TRACKER'!$A$5:$A$204,MATCH(LARGE('⚡ COMMAND TRACKER'!$Y$5:$Y$204,3),'⚡ COMMAND TRACKER'!$Y$5:$Y$204,0)),"")</f>
        <v>0</v>
      </c>
      <c r="C6" s="17" t="n">
        <f aca="false">IFERROR(INDEX('⚡ COMMAND TRACKER'!$E$5:$E$204,MATCH(LARGE('⚡ COMMAND TRACKER'!$Y$5:$Y$204,3),'⚡ COMMAND TRACKER'!$Y$5:$Y$204,0)),"")</f>
        <v>0</v>
      </c>
      <c r="D6" s="27" t="n">
        <f aca="false">IFERROR(INDEX('⚡ COMMAND TRACKER'!$B$5:$B$204,MATCH(LARGE('⚡ COMMAND TRACKER'!$Y$5:$Y$204,3),'⚡ COMMAND TRACKER'!$Y$5:$Y$204,0)),"")</f>
        <v>0</v>
      </c>
      <c r="E6" s="17" t="n">
        <f aca="false">IFERROR(INDEX('⚡ COMMAND TRACKER'!$H$5:$H$204,MATCH(LARGE('⚡ COMMAND TRACKER'!$Y$5:$Y$204,3),'⚡ COMMAND TRACKER'!$Y$5:$Y$204,0)),"")</f>
        <v>0</v>
      </c>
      <c r="F6" s="28" t="n">
        <f aca="false">IFERROR(LARGE('⚡ COMMAND TRACKER'!$Y$5:$Y$204,3),"")</f>
        <v>0</v>
      </c>
      <c r="G6" s="18" t="str">
        <f aca="false">IFERROR(INDEX('⚡ COMMAND TRACKER'!$Z$5:$Z$204,MATCH(LARGE('⚡ COMMAND TRACKER'!$Y$5:$Y$204,3),'⚡ COMMAND TRACKER'!$Y$5:$Y$204,0)),"")</f>
        <v/>
      </c>
      <c r="H6" s="29" t="n">
        <f aca="false">IFERROR(INDEX('⚡ COMMAND TRACKER'!$T$5:$T$204,MATCH(LARGE('⚡ COMMAND TRACKER'!$Y$5:$Y$204,3),'⚡ COMMAND TRACKER'!$Y$5:$Y$204,0)),"")</f>
        <v>0</v>
      </c>
      <c r="I6" s="18" t="n">
        <f aca="false">IFERROR(INDEX('⚡ COMMAND TRACKER'!$U$5:$U$204,MATCH(LARGE('⚡ COMMAND TRACKER'!$Y$5:$Y$204,3),'⚡ COMMAND TRACKER'!$Y$5:$Y$204,0)),"")</f>
        <v>0</v>
      </c>
      <c r="J6" s="17" t="n">
        <f aca="false">IFERROR(INDEX('⚡ COMMAND TRACKER'!$X$5:$X$204,MATCH(LARGE('⚡ COMMAND TRACKER'!$Y$5:$Y$204,3),'⚡ COMMAND TRACKER'!$Y$5:$Y$204,0)),"")</f>
        <v>0</v>
      </c>
      <c r="K6" s="21" t="n">
        <f aca="false">IFERROR(INDEX('⚡ COMMAND TRACKER'!$AC$5:$AC$204,MATCH(LARGE('⚡ COMMAND TRACKER'!$Y$5:$Y$204,3),'⚡ COMMAND TRACKER'!$Y$5:$Y$204,0)),"")</f>
        <v>0</v>
      </c>
      <c r="L6" s="23" t="str">
        <f aca="true">IFERROR(IF(K6="","",K6-TODAY()),"")</f>
        <v/>
      </c>
      <c r="M6" s="17" t="n">
        <f aca="false">IFERROR(INDEX('⚡ COMMAND TRACKER'!$AE$5:$AE$204,MATCH(LARGE('⚡ COMMAND TRACKER'!$Y$5:$Y$204,3),'⚡ COMMAND TRACKER'!$Y$5:$Y$204,0)),"")</f>
        <v>0</v>
      </c>
    </row>
    <row r="7" customFormat="false" ht="19.5" hidden="false" customHeight="true" outlineLevel="0" collapsed="false">
      <c r="A7" s="10" t="str">
        <f aca="false">IFERROR(INDEX('⚡ COMMAND TRACKER'!$AA$5:$AA$204,MATCH(LARGE('⚡ COMMAND TRACKER'!$Y$5:$Y$204,4),'⚡ COMMAND TRACKER'!$Y$5:$Y$204,0)),"")</f>
        <v>⏳ WORKING</v>
      </c>
      <c r="B7" s="10" t="n">
        <f aca="false">IFERROR(INDEX('⚡ COMMAND TRACKER'!$A$5:$A$204,MATCH(LARGE('⚡ COMMAND TRACKER'!$Y$5:$Y$204,4),'⚡ COMMAND TRACKER'!$Y$5:$Y$204,0)),"")</f>
        <v>0</v>
      </c>
      <c r="C7" s="10" t="n">
        <f aca="false">IFERROR(INDEX('⚡ COMMAND TRACKER'!$E$5:$E$204,MATCH(LARGE('⚡ COMMAND TRACKER'!$Y$5:$Y$204,4),'⚡ COMMAND TRACKER'!$Y$5:$Y$204,0)),"")</f>
        <v>0</v>
      </c>
      <c r="D7" s="30" t="n">
        <f aca="false">IFERROR(INDEX('⚡ COMMAND TRACKER'!$B$5:$B$204,MATCH(LARGE('⚡ COMMAND TRACKER'!$Y$5:$Y$204,4),'⚡ COMMAND TRACKER'!$Y$5:$Y$204,0)),"")</f>
        <v>0</v>
      </c>
      <c r="E7" s="10" t="n">
        <f aca="false">IFERROR(INDEX('⚡ COMMAND TRACKER'!$H$5:$H$204,MATCH(LARGE('⚡ COMMAND TRACKER'!$Y$5:$Y$204,4),'⚡ COMMAND TRACKER'!$Y$5:$Y$204,0)),"")</f>
        <v>0</v>
      </c>
      <c r="F7" s="31" t="n">
        <f aca="false">IFERROR(LARGE('⚡ COMMAND TRACKER'!$Y$5:$Y$204,4),"")</f>
        <v>0</v>
      </c>
      <c r="G7" s="11" t="str">
        <f aca="false">IFERROR(INDEX('⚡ COMMAND TRACKER'!$Z$5:$Z$204,MATCH(LARGE('⚡ COMMAND TRACKER'!$Y$5:$Y$204,4),'⚡ COMMAND TRACKER'!$Y$5:$Y$204,0)),"")</f>
        <v/>
      </c>
      <c r="H7" s="32" t="n">
        <f aca="false">IFERROR(INDEX('⚡ COMMAND TRACKER'!$T$5:$T$204,MATCH(LARGE('⚡ COMMAND TRACKER'!$Y$5:$Y$204,4),'⚡ COMMAND TRACKER'!$Y$5:$Y$204,0)),"")</f>
        <v>0</v>
      </c>
      <c r="I7" s="11" t="n">
        <f aca="false">IFERROR(INDEX('⚡ COMMAND TRACKER'!$U$5:$U$204,MATCH(LARGE('⚡ COMMAND TRACKER'!$Y$5:$Y$204,4),'⚡ COMMAND TRACKER'!$Y$5:$Y$204,0)),"")</f>
        <v>0</v>
      </c>
      <c r="J7" s="10" t="n">
        <f aca="false">IFERROR(INDEX('⚡ COMMAND TRACKER'!$X$5:$X$204,MATCH(LARGE('⚡ COMMAND TRACKER'!$Y$5:$Y$204,4),'⚡ COMMAND TRACKER'!$Y$5:$Y$204,0)),"")</f>
        <v>0</v>
      </c>
      <c r="K7" s="14" t="n">
        <f aca="false">IFERROR(INDEX('⚡ COMMAND TRACKER'!$AC$5:$AC$204,MATCH(LARGE('⚡ COMMAND TRACKER'!$Y$5:$Y$204,4),'⚡ COMMAND TRACKER'!$Y$5:$Y$204,0)),"")</f>
        <v>0</v>
      </c>
      <c r="L7" s="16" t="str">
        <f aca="true">IFERROR(IF(K7="","",K7-TODAY()),"")</f>
        <v/>
      </c>
      <c r="M7" s="10" t="n">
        <f aca="false">IFERROR(INDEX('⚡ COMMAND TRACKER'!$AE$5:$AE$204,MATCH(LARGE('⚡ COMMAND TRACKER'!$Y$5:$Y$204,4),'⚡ COMMAND TRACKER'!$Y$5:$Y$204,0)),"")</f>
        <v>0</v>
      </c>
    </row>
    <row r="8" customFormat="false" ht="19.5" hidden="false" customHeight="true" outlineLevel="0" collapsed="false">
      <c r="A8" s="17" t="str">
        <f aca="false">IFERROR(INDEX('⚡ COMMAND TRACKER'!$AA$5:$AA$204,MATCH(LARGE('⚡ COMMAND TRACKER'!$Y$5:$Y$204,5),'⚡ COMMAND TRACKER'!$Y$5:$Y$204,0)),"")</f>
        <v>⏳ WORKING</v>
      </c>
      <c r="B8" s="17" t="n">
        <f aca="false">IFERROR(INDEX('⚡ COMMAND TRACKER'!$A$5:$A$204,MATCH(LARGE('⚡ COMMAND TRACKER'!$Y$5:$Y$204,5),'⚡ COMMAND TRACKER'!$Y$5:$Y$204,0)),"")</f>
        <v>0</v>
      </c>
      <c r="C8" s="17" t="n">
        <f aca="false">IFERROR(INDEX('⚡ COMMAND TRACKER'!$E$5:$E$204,MATCH(LARGE('⚡ COMMAND TRACKER'!$Y$5:$Y$204,5),'⚡ COMMAND TRACKER'!$Y$5:$Y$204,0)),"")</f>
        <v>0</v>
      </c>
      <c r="D8" s="27" t="n">
        <f aca="false">IFERROR(INDEX('⚡ COMMAND TRACKER'!$B$5:$B$204,MATCH(LARGE('⚡ COMMAND TRACKER'!$Y$5:$Y$204,5),'⚡ COMMAND TRACKER'!$Y$5:$Y$204,0)),"")</f>
        <v>0</v>
      </c>
      <c r="E8" s="17" t="n">
        <f aca="false">IFERROR(INDEX('⚡ COMMAND TRACKER'!$H$5:$H$204,MATCH(LARGE('⚡ COMMAND TRACKER'!$Y$5:$Y$204,5),'⚡ COMMAND TRACKER'!$Y$5:$Y$204,0)),"")</f>
        <v>0</v>
      </c>
      <c r="F8" s="28" t="n">
        <f aca="false">IFERROR(LARGE('⚡ COMMAND TRACKER'!$Y$5:$Y$204,5),"")</f>
        <v>0</v>
      </c>
      <c r="G8" s="18" t="str">
        <f aca="false">IFERROR(INDEX('⚡ COMMAND TRACKER'!$Z$5:$Z$204,MATCH(LARGE('⚡ COMMAND TRACKER'!$Y$5:$Y$204,5),'⚡ COMMAND TRACKER'!$Y$5:$Y$204,0)),"")</f>
        <v/>
      </c>
      <c r="H8" s="29" t="n">
        <f aca="false">IFERROR(INDEX('⚡ COMMAND TRACKER'!$T$5:$T$204,MATCH(LARGE('⚡ COMMAND TRACKER'!$Y$5:$Y$204,5),'⚡ COMMAND TRACKER'!$Y$5:$Y$204,0)),"")</f>
        <v>0</v>
      </c>
      <c r="I8" s="18" t="n">
        <f aca="false">IFERROR(INDEX('⚡ COMMAND TRACKER'!$U$5:$U$204,MATCH(LARGE('⚡ COMMAND TRACKER'!$Y$5:$Y$204,5),'⚡ COMMAND TRACKER'!$Y$5:$Y$204,0)),"")</f>
        <v>0</v>
      </c>
      <c r="J8" s="17" t="n">
        <f aca="false">IFERROR(INDEX('⚡ COMMAND TRACKER'!$X$5:$X$204,MATCH(LARGE('⚡ COMMAND TRACKER'!$Y$5:$Y$204,5),'⚡ COMMAND TRACKER'!$Y$5:$Y$204,0)),"")</f>
        <v>0</v>
      </c>
      <c r="K8" s="21" t="n">
        <f aca="false">IFERROR(INDEX('⚡ COMMAND TRACKER'!$AC$5:$AC$204,MATCH(LARGE('⚡ COMMAND TRACKER'!$Y$5:$Y$204,5),'⚡ COMMAND TRACKER'!$Y$5:$Y$204,0)),"")</f>
        <v>0</v>
      </c>
      <c r="L8" s="23" t="str">
        <f aca="true">IFERROR(IF(K8="","",K8-TODAY()),"")</f>
        <v/>
      </c>
      <c r="M8" s="17" t="n">
        <f aca="false">IFERROR(INDEX('⚡ COMMAND TRACKER'!$AE$5:$AE$204,MATCH(LARGE('⚡ COMMAND TRACKER'!$Y$5:$Y$204,5),'⚡ COMMAND TRACKER'!$Y$5:$Y$204,0)),"")</f>
        <v>0</v>
      </c>
    </row>
    <row r="9" customFormat="false" ht="19.5" hidden="false" customHeight="true" outlineLevel="0" collapsed="false">
      <c r="A9" s="10" t="str">
        <f aca="false">IFERROR(INDEX('⚡ COMMAND TRACKER'!$AA$5:$AA$204,MATCH(LARGE('⚡ COMMAND TRACKER'!$Y$5:$Y$204,6),'⚡ COMMAND TRACKER'!$Y$5:$Y$204,0)),"")</f>
        <v>⏳ WORKING</v>
      </c>
      <c r="B9" s="10" t="n">
        <f aca="false">IFERROR(INDEX('⚡ COMMAND TRACKER'!$A$5:$A$204,MATCH(LARGE('⚡ COMMAND TRACKER'!$Y$5:$Y$204,6),'⚡ COMMAND TRACKER'!$Y$5:$Y$204,0)),"")</f>
        <v>0</v>
      </c>
      <c r="C9" s="10" t="n">
        <f aca="false">IFERROR(INDEX('⚡ COMMAND TRACKER'!$E$5:$E$204,MATCH(LARGE('⚡ COMMAND TRACKER'!$Y$5:$Y$204,6),'⚡ COMMAND TRACKER'!$Y$5:$Y$204,0)),"")</f>
        <v>0</v>
      </c>
      <c r="D9" s="30" t="n">
        <f aca="false">IFERROR(INDEX('⚡ COMMAND TRACKER'!$B$5:$B$204,MATCH(LARGE('⚡ COMMAND TRACKER'!$Y$5:$Y$204,6),'⚡ COMMAND TRACKER'!$Y$5:$Y$204,0)),"")</f>
        <v>0</v>
      </c>
      <c r="E9" s="10" t="n">
        <f aca="false">IFERROR(INDEX('⚡ COMMAND TRACKER'!$H$5:$H$204,MATCH(LARGE('⚡ COMMAND TRACKER'!$Y$5:$Y$204,6),'⚡ COMMAND TRACKER'!$Y$5:$Y$204,0)),"")</f>
        <v>0</v>
      </c>
      <c r="F9" s="31" t="n">
        <f aca="false">IFERROR(LARGE('⚡ COMMAND TRACKER'!$Y$5:$Y$204,6),"")</f>
        <v>0</v>
      </c>
      <c r="G9" s="11" t="str">
        <f aca="false">IFERROR(INDEX('⚡ COMMAND TRACKER'!$Z$5:$Z$204,MATCH(LARGE('⚡ COMMAND TRACKER'!$Y$5:$Y$204,6),'⚡ COMMAND TRACKER'!$Y$5:$Y$204,0)),"")</f>
        <v/>
      </c>
      <c r="H9" s="32" t="n">
        <f aca="false">IFERROR(INDEX('⚡ COMMAND TRACKER'!$T$5:$T$204,MATCH(LARGE('⚡ COMMAND TRACKER'!$Y$5:$Y$204,6),'⚡ COMMAND TRACKER'!$Y$5:$Y$204,0)),"")</f>
        <v>0</v>
      </c>
      <c r="I9" s="11" t="n">
        <f aca="false">IFERROR(INDEX('⚡ COMMAND TRACKER'!$U$5:$U$204,MATCH(LARGE('⚡ COMMAND TRACKER'!$Y$5:$Y$204,6),'⚡ COMMAND TRACKER'!$Y$5:$Y$204,0)),"")</f>
        <v>0</v>
      </c>
      <c r="J9" s="10" t="n">
        <f aca="false">IFERROR(INDEX('⚡ COMMAND TRACKER'!$X$5:$X$204,MATCH(LARGE('⚡ COMMAND TRACKER'!$Y$5:$Y$204,6),'⚡ COMMAND TRACKER'!$Y$5:$Y$204,0)),"")</f>
        <v>0</v>
      </c>
      <c r="K9" s="14" t="n">
        <f aca="false">IFERROR(INDEX('⚡ COMMAND TRACKER'!$AC$5:$AC$204,MATCH(LARGE('⚡ COMMAND TRACKER'!$Y$5:$Y$204,6),'⚡ COMMAND TRACKER'!$Y$5:$Y$204,0)),"")</f>
        <v>0</v>
      </c>
      <c r="L9" s="16" t="str">
        <f aca="true">IFERROR(IF(K9="","",K9-TODAY()),"")</f>
        <v/>
      </c>
      <c r="M9" s="10" t="n">
        <f aca="false">IFERROR(INDEX('⚡ COMMAND TRACKER'!$AE$5:$AE$204,MATCH(LARGE('⚡ COMMAND TRACKER'!$Y$5:$Y$204,6),'⚡ COMMAND TRACKER'!$Y$5:$Y$204,0)),"")</f>
        <v>0</v>
      </c>
    </row>
    <row r="10" customFormat="false" ht="19.5" hidden="false" customHeight="true" outlineLevel="0" collapsed="false">
      <c r="A10" s="17" t="str">
        <f aca="false">IFERROR(INDEX('⚡ COMMAND TRACKER'!$AA$5:$AA$204,MATCH(LARGE('⚡ COMMAND TRACKER'!$Y$5:$Y$204,7),'⚡ COMMAND TRACKER'!$Y$5:$Y$204,0)),"")</f>
        <v>⏳ WORKING</v>
      </c>
      <c r="B10" s="17" t="n">
        <f aca="false">IFERROR(INDEX('⚡ COMMAND TRACKER'!$A$5:$A$204,MATCH(LARGE('⚡ COMMAND TRACKER'!$Y$5:$Y$204,7),'⚡ COMMAND TRACKER'!$Y$5:$Y$204,0)),"")</f>
        <v>0</v>
      </c>
      <c r="C10" s="17" t="n">
        <f aca="false">IFERROR(INDEX('⚡ COMMAND TRACKER'!$E$5:$E$204,MATCH(LARGE('⚡ COMMAND TRACKER'!$Y$5:$Y$204,7),'⚡ COMMAND TRACKER'!$Y$5:$Y$204,0)),"")</f>
        <v>0</v>
      </c>
      <c r="D10" s="27" t="n">
        <f aca="false">IFERROR(INDEX('⚡ COMMAND TRACKER'!$B$5:$B$204,MATCH(LARGE('⚡ COMMAND TRACKER'!$Y$5:$Y$204,7),'⚡ COMMAND TRACKER'!$Y$5:$Y$204,0)),"")</f>
        <v>0</v>
      </c>
      <c r="E10" s="17" t="n">
        <f aca="false">IFERROR(INDEX('⚡ COMMAND TRACKER'!$H$5:$H$204,MATCH(LARGE('⚡ COMMAND TRACKER'!$Y$5:$Y$204,7),'⚡ COMMAND TRACKER'!$Y$5:$Y$204,0)),"")</f>
        <v>0</v>
      </c>
      <c r="F10" s="28" t="n">
        <f aca="false">IFERROR(LARGE('⚡ COMMAND TRACKER'!$Y$5:$Y$204,7),"")</f>
        <v>0</v>
      </c>
      <c r="G10" s="18" t="str">
        <f aca="false">IFERROR(INDEX('⚡ COMMAND TRACKER'!$Z$5:$Z$204,MATCH(LARGE('⚡ COMMAND TRACKER'!$Y$5:$Y$204,7),'⚡ COMMAND TRACKER'!$Y$5:$Y$204,0)),"")</f>
        <v/>
      </c>
      <c r="H10" s="29" t="n">
        <f aca="false">IFERROR(INDEX('⚡ COMMAND TRACKER'!$T$5:$T$204,MATCH(LARGE('⚡ COMMAND TRACKER'!$Y$5:$Y$204,7),'⚡ COMMAND TRACKER'!$Y$5:$Y$204,0)),"")</f>
        <v>0</v>
      </c>
      <c r="I10" s="18" t="n">
        <f aca="false">IFERROR(INDEX('⚡ COMMAND TRACKER'!$U$5:$U$204,MATCH(LARGE('⚡ COMMAND TRACKER'!$Y$5:$Y$204,7),'⚡ COMMAND TRACKER'!$Y$5:$Y$204,0)),"")</f>
        <v>0</v>
      </c>
      <c r="J10" s="17" t="n">
        <f aca="false">IFERROR(INDEX('⚡ COMMAND TRACKER'!$X$5:$X$204,MATCH(LARGE('⚡ COMMAND TRACKER'!$Y$5:$Y$204,7),'⚡ COMMAND TRACKER'!$Y$5:$Y$204,0)),"")</f>
        <v>0</v>
      </c>
      <c r="K10" s="21" t="n">
        <f aca="false">IFERROR(INDEX('⚡ COMMAND TRACKER'!$AC$5:$AC$204,MATCH(LARGE('⚡ COMMAND TRACKER'!$Y$5:$Y$204,7),'⚡ COMMAND TRACKER'!$Y$5:$Y$204,0)),"")</f>
        <v>0</v>
      </c>
      <c r="L10" s="23" t="str">
        <f aca="true">IFERROR(IF(K10="","",K10-TODAY()),"")</f>
        <v/>
      </c>
      <c r="M10" s="17" t="n">
        <f aca="false">IFERROR(INDEX('⚡ COMMAND TRACKER'!$AE$5:$AE$204,MATCH(LARGE('⚡ COMMAND TRACKER'!$Y$5:$Y$204,7),'⚡ COMMAND TRACKER'!$Y$5:$Y$204,0)),"")</f>
        <v>0</v>
      </c>
    </row>
    <row r="11" customFormat="false" ht="19.5" hidden="false" customHeight="true" outlineLevel="0" collapsed="false">
      <c r="A11" s="10" t="str">
        <f aca="false">IFERROR(INDEX('⚡ COMMAND TRACKER'!$AA$5:$AA$204,MATCH(LARGE('⚡ COMMAND TRACKER'!$Y$5:$Y$204,8),'⚡ COMMAND TRACKER'!$Y$5:$Y$204,0)),"")</f>
        <v>⏳ WORKING</v>
      </c>
      <c r="B11" s="10" t="n">
        <f aca="false">IFERROR(INDEX('⚡ COMMAND TRACKER'!$A$5:$A$204,MATCH(LARGE('⚡ COMMAND TRACKER'!$Y$5:$Y$204,8),'⚡ COMMAND TRACKER'!$Y$5:$Y$204,0)),"")</f>
        <v>0</v>
      </c>
      <c r="C11" s="10" t="n">
        <f aca="false">IFERROR(INDEX('⚡ COMMAND TRACKER'!$E$5:$E$204,MATCH(LARGE('⚡ COMMAND TRACKER'!$Y$5:$Y$204,8),'⚡ COMMAND TRACKER'!$Y$5:$Y$204,0)),"")</f>
        <v>0</v>
      </c>
      <c r="D11" s="30" t="n">
        <f aca="false">IFERROR(INDEX('⚡ COMMAND TRACKER'!$B$5:$B$204,MATCH(LARGE('⚡ COMMAND TRACKER'!$Y$5:$Y$204,8),'⚡ COMMAND TRACKER'!$Y$5:$Y$204,0)),"")</f>
        <v>0</v>
      </c>
      <c r="E11" s="10" t="n">
        <f aca="false">IFERROR(INDEX('⚡ COMMAND TRACKER'!$H$5:$H$204,MATCH(LARGE('⚡ COMMAND TRACKER'!$Y$5:$Y$204,8),'⚡ COMMAND TRACKER'!$Y$5:$Y$204,0)),"")</f>
        <v>0</v>
      </c>
      <c r="F11" s="31" t="n">
        <f aca="false">IFERROR(LARGE('⚡ COMMAND TRACKER'!$Y$5:$Y$204,8),"")</f>
        <v>0</v>
      </c>
      <c r="G11" s="11" t="str">
        <f aca="false">IFERROR(INDEX('⚡ COMMAND TRACKER'!$Z$5:$Z$204,MATCH(LARGE('⚡ COMMAND TRACKER'!$Y$5:$Y$204,8),'⚡ COMMAND TRACKER'!$Y$5:$Y$204,0)),"")</f>
        <v/>
      </c>
      <c r="H11" s="32" t="n">
        <f aca="false">IFERROR(INDEX('⚡ COMMAND TRACKER'!$T$5:$T$204,MATCH(LARGE('⚡ COMMAND TRACKER'!$Y$5:$Y$204,8),'⚡ COMMAND TRACKER'!$Y$5:$Y$204,0)),"")</f>
        <v>0</v>
      </c>
      <c r="I11" s="11" t="n">
        <f aca="false">IFERROR(INDEX('⚡ COMMAND TRACKER'!$U$5:$U$204,MATCH(LARGE('⚡ COMMAND TRACKER'!$Y$5:$Y$204,8),'⚡ COMMAND TRACKER'!$Y$5:$Y$204,0)),"")</f>
        <v>0</v>
      </c>
      <c r="J11" s="10" t="n">
        <f aca="false">IFERROR(INDEX('⚡ COMMAND TRACKER'!$X$5:$X$204,MATCH(LARGE('⚡ COMMAND TRACKER'!$Y$5:$Y$204,8),'⚡ COMMAND TRACKER'!$Y$5:$Y$204,0)),"")</f>
        <v>0</v>
      </c>
      <c r="K11" s="14" t="n">
        <f aca="false">IFERROR(INDEX('⚡ COMMAND TRACKER'!$AC$5:$AC$204,MATCH(LARGE('⚡ COMMAND TRACKER'!$Y$5:$Y$204,8),'⚡ COMMAND TRACKER'!$Y$5:$Y$204,0)),"")</f>
        <v>0</v>
      </c>
      <c r="L11" s="16" t="str">
        <f aca="true">IFERROR(IF(K11="","",K11-TODAY()),"")</f>
        <v/>
      </c>
      <c r="M11" s="10" t="n">
        <f aca="false">IFERROR(INDEX('⚡ COMMAND TRACKER'!$AE$5:$AE$204,MATCH(LARGE('⚡ COMMAND TRACKER'!$Y$5:$Y$204,8),'⚡ COMMAND TRACKER'!$Y$5:$Y$204,0)),"")</f>
        <v>0</v>
      </c>
    </row>
    <row r="12" customFormat="false" ht="19.5" hidden="false" customHeight="true" outlineLevel="0" collapsed="false">
      <c r="A12" s="17" t="str">
        <f aca="false">IFERROR(INDEX('⚡ COMMAND TRACKER'!$AA$5:$AA$204,MATCH(LARGE('⚡ COMMAND TRACKER'!$Y$5:$Y$204,9),'⚡ COMMAND TRACKER'!$Y$5:$Y$204,0)),"")</f>
        <v>⏳ WORKING</v>
      </c>
      <c r="B12" s="17" t="n">
        <f aca="false">IFERROR(INDEX('⚡ COMMAND TRACKER'!$A$5:$A$204,MATCH(LARGE('⚡ COMMAND TRACKER'!$Y$5:$Y$204,9),'⚡ COMMAND TRACKER'!$Y$5:$Y$204,0)),"")</f>
        <v>0</v>
      </c>
      <c r="C12" s="17" t="n">
        <f aca="false">IFERROR(INDEX('⚡ COMMAND TRACKER'!$E$5:$E$204,MATCH(LARGE('⚡ COMMAND TRACKER'!$Y$5:$Y$204,9),'⚡ COMMAND TRACKER'!$Y$5:$Y$204,0)),"")</f>
        <v>0</v>
      </c>
      <c r="D12" s="27" t="n">
        <f aca="false">IFERROR(INDEX('⚡ COMMAND TRACKER'!$B$5:$B$204,MATCH(LARGE('⚡ COMMAND TRACKER'!$Y$5:$Y$204,9),'⚡ COMMAND TRACKER'!$Y$5:$Y$204,0)),"")</f>
        <v>0</v>
      </c>
      <c r="E12" s="17" t="n">
        <f aca="false">IFERROR(INDEX('⚡ COMMAND TRACKER'!$H$5:$H$204,MATCH(LARGE('⚡ COMMAND TRACKER'!$Y$5:$Y$204,9),'⚡ COMMAND TRACKER'!$Y$5:$Y$204,0)),"")</f>
        <v>0</v>
      </c>
      <c r="F12" s="28" t="n">
        <f aca="false">IFERROR(LARGE('⚡ COMMAND TRACKER'!$Y$5:$Y$204,9),"")</f>
        <v>0</v>
      </c>
      <c r="G12" s="18" t="str">
        <f aca="false">IFERROR(INDEX('⚡ COMMAND TRACKER'!$Z$5:$Z$204,MATCH(LARGE('⚡ COMMAND TRACKER'!$Y$5:$Y$204,9),'⚡ COMMAND TRACKER'!$Y$5:$Y$204,0)),"")</f>
        <v/>
      </c>
      <c r="H12" s="29" t="n">
        <f aca="false">IFERROR(INDEX('⚡ COMMAND TRACKER'!$T$5:$T$204,MATCH(LARGE('⚡ COMMAND TRACKER'!$Y$5:$Y$204,9),'⚡ COMMAND TRACKER'!$Y$5:$Y$204,0)),"")</f>
        <v>0</v>
      </c>
      <c r="I12" s="18" t="n">
        <f aca="false">IFERROR(INDEX('⚡ COMMAND TRACKER'!$U$5:$U$204,MATCH(LARGE('⚡ COMMAND TRACKER'!$Y$5:$Y$204,9),'⚡ COMMAND TRACKER'!$Y$5:$Y$204,0)),"")</f>
        <v>0</v>
      </c>
      <c r="J12" s="17" t="n">
        <f aca="false">IFERROR(INDEX('⚡ COMMAND TRACKER'!$X$5:$X$204,MATCH(LARGE('⚡ COMMAND TRACKER'!$Y$5:$Y$204,9),'⚡ COMMAND TRACKER'!$Y$5:$Y$204,0)),"")</f>
        <v>0</v>
      </c>
      <c r="K12" s="21" t="n">
        <f aca="false">IFERROR(INDEX('⚡ COMMAND TRACKER'!$AC$5:$AC$204,MATCH(LARGE('⚡ COMMAND TRACKER'!$Y$5:$Y$204,9),'⚡ COMMAND TRACKER'!$Y$5:$Y$204,0)),"")</f>
        <v>0</v>
      </c>
      <c r="L12" s="23" t="str">
        <f aca="true">IFERROR(IF(K12="","",K12-TODAY()),"")</f>
        <v/>
      </c>
      <c r="M12" s="17" t="n">
        <f aca="false">IFERROR(INDEX('⚡ COMMAND TRACKER'!$AE$5:$AE$204,MATCH(LARGE('⚡ COMMAND TRACKER'!$Y$5:$Y$204,9),'⚡ COMMAND TRACKER'!$Y$5:$Y$204,0)),"")</f>
        <v>0</v>
      </c>
    </row>
    <row r="13" customFormat="false" ht="19.5" hidden="false" customHeight="true" outlineLevel="0" collapsed="false">
      <c r="A13" s="10" t="str">
        <f aca="false">IFERROR(INDEX('⚡ COMMAND TRACKER'!$AA$5:$AA$204,MATCH(LARGE('⚡ COMMAND TRACKER'!$Y$5:$Y$204,10),'⚡ COMMAND TRACKER'!$Y$5:$Y$204,0)),"")</f>
        <v>⏳ WORKING</v>
      </c>
      <c r="B13" s="10" t="n">
        <f aca="false">IFERROR(INDEX('⚡ COMMAND TRACKER'!$A$5:$A$204,MATCH(LARGE('⚡ COMMAND TRACKER'!$Y$5:$Y$204,10),'⚡ COMMAND TRACKER'!$Y$5:$Y$204,0)),"")</f>
        <v>0</v>
      </c>
      <c r="C13" s="10" t="n">
        <f aca="false">IFERROR(INDEX('⚡ COMMAND TRACKER'!$E$5:$E$204,MATCH(LARGE('⚡ COMMAND TRACKER'!$Y$5:$Y$204,10),'⚡ COMMAND TRACKER'!$Y$5:$Y$204,0)),"")</f>
        <v>0</v>
      </c>
      <c r="D13" s="30" t="n">
        <f aca="false">IFERROR(INDEX('⚡ COMMAND TRACKER'!$B$5:$B$204,MATCH(LARGE('⚡ COMMAND TRACKER'!$Y$5:$Y$204,10),'⚡ COMMAND TRACKER'!$Y$5:$Y$204,0)),"")</f>
        <v>0</v>
      </c>
      <c r="E13" s="10" t="n">
        <f aca="false">IFERROR(INDEX('⚡ COMMAND TRACKER'!$H$5:$H$204,MATCH(LARGE('⚡ COMMAND TRACKER'!$Y$5:$Y$204,10),'⚡ COMMAND TRACKER'!$Y$5:$Y$204,0)),"")</f>
        <v>0</v>
      </c>
      <c r="F13" s="31" t="n">
        <f aca="false">IFERROR(LARGE('⚡ COMMAND TRACKER'!$Y$5:$Y$204,10),"")</f>
        <v>0</v>
      </c>
      <c r="G13" s="11" t="str">
        <f aca="false">IFERROR(INDEX('⚡ COMMAND TRACKER'!$Z$5:$Z$204,MATCH(LARGE('⚡ COMMAND TRACKER'!$Y$5:$Y$204,10),'⚡ COMMAND TRACKER'!$Y$5:$Y$204,0)),"")</f>
        <v/>
      </c>
      <c r="H13" s="32" t="n">
        <f aca="false">IFERROR(INDEX('⚡ COMMAND TRACKER'!$T$5:$T$204,MATCH(LARGE('⚡ COMMAND TRACKER'!$Y$5:$Y$204,10),'⚡ COMMAND TRACKER'!$Y$5:$Y$204,0)),"")</f>
        <v>0</v>
      </c>
      <c r="I13" s="11" t="n">
        <f aca="false">IFERROR(INDEX('⚡ COMMAND TRACKER'!$U$5:$U$204,MATCH(LARGE('⚡ COMMAND TRACKER'!$Y$5:$Y$204,10),'⚡ COMMAND TRACKER'!$Y$5:$Y$204,0)),"")</f>
        <v>0</v>
      </c>
      <c r="J13" s="10" t="n">
        <f aca="false">IFERROR(INDEX('⚡ COMMAND TRACKER'!$X$5:$X$204,MATCH(LARGE('⚡ COMMAND TRACKER'!$Y$5:$Y$204,10),'⚡ COMMAND TRACKER'!$Y$5:$Y$204,0)),"")</f>
        <v>0</v>
      </c>
      <c r="K13" s="14" t="n">
        <f aca="false">IFERROR(INDEX('⚡ COMMAND TRACKER'!$AC$5:$AC$204,MATCH(LARGE('⚡ COMMAND TRACKER'!$Y$5:$Y$204,10),'⚡ COMMAND TRACKER'!$Y$5:$Y$204,0)),"")</f>
        <v>0</v>
      </c>
      <c r="L13" s="16" t="str">
        <f aca="true">IFERROR(IF(K13="","",K13-TODAY()),"")</f>
        <v/>
      </c>
      <c r="M13" s="10" t="n">
        <f aca="false">IFERROR(INDEX('⚡ COMMAND TRACKER'!$AE$5:$AE$204,MATCH(LARGE('⚡ COMMAND TRACKER'!$Y$5:$Y$204,10),'⚡ COMMAND TRACKER'!$Y$5:$Y$204,0)),"")</f>
        <v>0</v>
      </c>
    </row>
    <row r="14" customFormat="false" ht="19.5" hidden="false" customHeight="true" outlineLevel="0" collapsed="false">
      <c r="A14" s="17" t="str">
        <f aca="false">IFERROR(INDEX('⚡ COMMAND TRACKER'!$AA$5:$AA$204,MATCH(LARGE('⚡ COMMAND TRACKER'!$Y$5:$Y$204,11),'⚡ COMMAND TRACKER'!$Y$5:$Y$204,0)),"")</f>
        <v>⏳ WORKING</v>
      </c>
      <c r="B14" s="17" t="n">
        <f aca="false">IFERROR(INDEX('⚡ COMMAND TRACKER'!$A$5:$A$204,MATCH(LARGE('⚡ COMMAND TRACKER'!$Y$5:$Y$204,11),'⚡ COMMAND TRACKER'!$Y$5:$Y$204,0)),"")</f>
        <v>0</v>
      </c>
      <c r="C14" s="17" t="n">
        <f aca="false">IFERROR(INDEX('⚡ COMMAND TRACKER'!$E$5:$E$204,MATCH(LARGE('⚡ COMMAND TRACKER'!$Y$5:$Y$204,11),'⚡ COMMAND TRACKER'!$Y$5:$Y$204,0)),"")</f>
        <v>0</v>
      </c>
      <c r="D14" s="27" t="n">
        <f aca="false">IFERROR(INDEX('⚡ COMMAND TRACKER'!$B$5:$B$204,MATCH(LARGE('⚡ COMMAND TRACKER'!$Y$5:$Y$204,11),'⚡ COMMAND TRACKER'!$Y$5:$Y$204,0)),"")</f>
        <v>0</v>
      </c>
      <c r="E14" s="17" t="n">
        <f aca="false">IFERROR(INDEX('⚡ COMMAND TRACKER'!$H$5:$H$204,MATCH(LARGE('⚡ COMMAND TRACKER'!$Y$5:$Y$204,11),'⚡ COMMAND TRACKER'!$Y$5:$Y$204,0)),"")</f>
        <v>0</v>
      </c>
      <c r="F14" s="28" t="n">
        <f aca="false">IFERROR(LARGE('⚡ COMMAND TRACKER'!$Y$5:$Y$204,11),"")</f>
        <v>0</v>
      </c>
      <c r="G14" s="18" t="str">
        <f aca="false">IFERROR(INDEX('⚡ COMMAND TRACKER'!$Z$5:$Z$204,MATCH(LARGE('⚡ COMMAND TRACKER'!$Y$5:$Y$204,11),'⚡ COMMAND TRACKER'!$Y$5:$Y$204,0)),"")</f>
        <v/>
      </c>
      <c r="H14" s="29" t="n">
        <f aca="false">IFERROR(INDEX('⚡ COMMAND TRACKER'!$T$5:$T$204,MATCH(LARGE('⚡ COMMAND TRACKER'!$Y$5:$Y$204,11),'⚡ COMMAND TRACKER'!$Y$5:$Y$204,0)),"")</f>
        <v>0</v>
      </c>
      <c r="I14" s="18" t="n">
        <f aca="false">IFERROR(INDEX('⚡ COMMAND TRACKER'!$U$5:$U$204,MATCH(LARGE('⚡ COMMAND TRACKER'!$Y$5:$Y$204,11),'⚡ COMMAND TRACKER'!$Y$5:$Y$204,0)),"")</f>
        <v>0</v>
      </c>
      <c r="J14" s="17" t="n">
        <f aca="false">IFERROR(INDEX('⚡ COMMAND TRACKER'!$X$5:$X$204,MATCH(LARGE('⚡ COMMAND TRACKER'!$Y$5:$Y$204,11),'⚡ COMMAND TRACKER'!$Y$5:$Y$204,0)),"")</f>
        <v>0</v>
      </c>
      <c r="K14" s="21" t="n">
        <f aca="false">IFERROR(INDEX('⚡ COMMAND TRACKER'!$AC$5:$AC$204,MATCH(LARGE('⚡ COMMAND TRACKER'!$Y$5:$Y$204,11),'⚡ COMMAND TRACKER'!$Y$5:$Y$204,0)),"")</f>
        <v>0</v>
      </c>
      <c r="L14" s="23" t="str">
        <f aca="true">IFERROR(IF(K14="","",K14-TODAY()),"")</f>
        <v/>
      </c>
      <c r="M14" s="17" t="n">
        <f aca="false">IFERROR(INDEX('⚡ COMMAND TRACKER'!$AE$5:$AE$204,MATCH(LARGE('⚡ COMMAND TRACKER'!$Y$5:$Y$204,11),'⚡ COMMAND TRACKER'!$Y$5:$Y$204,0)),"")</f>
        <v>0</v>
      </c>
    </row>
    <row r="15" customFormat="false" ht="19.5" hidden="false" customHeight="true" outlineLevel="0" collapsed="false">
      <c r="A15" s="10" t="str">
        <f aca="false">IFERROR(INDEX('⚡ COMMAND TRACKER'!$AA$5:$AA$204,MATCH(LARGE('⚡ COMMAND TRACKER'!$Y$5:$Y$204,12),'⚡ COMMAND TRACKER'!$Y$5:$Y$204,0)),"")</f>
        <v>⏳ WORKING</v>
      </c>
      <c r="B15" s="10" t="n">
        <f aca="false">IFERROR(INDEX('⚡ COMMAND TRACKER'!$A$5:$A$204,MATCH(LARGE('⚡ COMMAND TRACKER'!$Y$5:$Y$204,12),'⚡ COMMAND TRACKER'!$Y$5:$Y$204,0)),"")</f>
        <v>0</v>
      </c>
      <c r="C15" s="10" t="n">
        <f aca="false">IFERROR(INDEX('⚡ COMMAND TRACKER'!$E$5:$E$204,MATCH(LARGE('⚡ COMMAND TRACKER'!$Y$5:$Y$204,12),'⚡ COMMAND TRACKER'!$Y$5:$Y$204,0)),"")</f>
        <v>0</v>
      </c>
      <c r="D15" s="30" t="n">
        <f aca="false">IFERROR(INDEX('⚡ COMMAND TRACKER'!$B$5:$B$204,MATCH(LARGE('⚡ COMMAND TRACKER'!$Y$5:$Y$204,12),'⚡ COMMAND TRACKER'!$Y$5:$Y$204,0)),"")</f>
        <v>0</v>
      </c>
      <c r="E15" s="10" t="n">
        <f aca="false">IFERROR(INDEX('⚡ COMMAND TRACKER'!$H$5:$H$204,MATCH(LARGE('⚡ COMMAND TRACKER'!$Y$5:$Y$204,12),'⚡ COMMAND TRACKER'!$Y$5:$Y$204,0)),"")</f>
        <v>0</v>
      </c>
      <c r="F15" s="31" t="n">
        <f aca="false">IFERROR(LARGE('⚡ COMMAND TRACKER'!$Y$5:$Y$204,12),"")</f>
        <v>0</v>
      </c>
      <c r="G15" s="11" t="str">
        <f aca="false">IFERROR(INDEX('⚡ COMMAND TRACKER'!$Z$5:$Z$204,MATCH(LARGE('⚡ COMMAND TRACKER'!$Y$5:$Y$204,12),'⚡ COMMAND TRACKER'!$Y$5:$Y$204,0)),"")</f>
        <v/>
      </c>
      <c r="H15" s="32" t="n">
        <f aca="false">IFERROR(INDEX('⚡ COMMAND TRACKER'!$T$5:$T$204,MATCH(LARGE('⚡ COMMAND TRACKER'!$Y$5:$Y$204,12),'⚡ COMMAND TRACKER'!$Y$5:$Y$204,0)),"")</f>
        <v>0</v>
      </c>
      <c r="I15" s="11" t="n">
        <f aca="false">IFERROR(INDEX('⚡ COMMAND TRACKER'!$U$5:$U$204,MATCH(LARGE('⚡ COMMAND TRACKER'!$Y$5:$Y$204,12),'⚡ COMMAND TRACKER'!$Y$5:$Y$204,0)),"")</f>
        <v>0</v>
      </c>
      <c r="J15" s="10" t="n">
        <f aca="false">IFERROR(INDEX('⚡ COMMAND TRACKER'!$X$5:$X$204,MATCH(LARGE('⚡ COMMAND TRACKER'!$Y$5:$Y$204,12),'⚡ COMMAND TRACKER'!$Y$5:$Y$204,0)),"")</f>
        <v>0</v>
      </c>
      <c r="K15" s="14" t="n">
        <f aca="false">IFERROR(INDEX('⚡ COMMAND TRACKER'!$AC$5:$AC$204,MATCH(LARGE('⚡ COMMAND TRACKER'!$Y$5:$Y$204,12),'⚡ COMMAND TRACKER'!$Y$5:$Y$204,0)),"")</f>
        <v>0</v>
      </c>
      <c r="L15" s="16" t="str">
        <f aca="true">IFERROR(IF(K15="","",K15-TODAY()),"")</f>
        <v/>
      </c>
      <c r="M15" s="10" t="n">
        <f aca="false">IFERROR(INDEX('⚡ COMMAND TRACKER'!$AE$5:$AE$204,MATCH(LARGE('⚡ COMMAND TRACKER'!$Y$5:$Y$204,12),'⚡ COMMAND TRACKER'!$Y$5:$Y$204,0)),"")</f>
        <v>0</v>
      </c>
    </row>
    <row r="16" customFormat="false" ht="19.5" hidden="false" customHeight="true" outlineLevel="0" collapsed="false">
      <c r="A16" s="17" t="str">
        <f aca="false">IFERROR(INDEX('⚡ COMMAND TRACKER'!$AA$5:$AA$204,MATCH(LARGE('⚡ COMMAND TRACKER'!$Y$5:$Y$204,13),'⚡ COMMAND TRACKER'!$Y$5:$Y$204,0)),"")</f>
        <v>⏳ WORKING</v>
      </c>
      <c r="B16" s="17" t="n">
        <f aca="false">IFERROR(INDEX('⚡ COMMAND TRACKER'!$A$5:$A$204,MATCH(LARGE('⚡ COMMAND TRACKER'!$Y$5:$Y$204,13),'⚡ COMMAND TRACKER'!$Y$5:$Y$204,0)),"")</f>
        <v>0</v>
      </c>
      <c r="C16" s="17" t="n">
        <f aca="false">IFERROR(INDEX('⚡ COMMAND TRACKER'!$E$5:$E$204,MATCH(LARGE('⚡ COMMAND TRACKER'!$Y$5:$Y$204,13),'⚡ COMMAND TRACKER'!$Y$5:$Y$204,0)),"")</f>
        <v>0</v>
      </c>
      <c r="D16" s="27" t="n">
        <f aca="false">IFERROR(INDEX('⚡ COMMAND TRACKER'!$B$5:$B$204,MATCH(LARGE('⚡ COMMAND TRACKER'!$Y$5:$Y$204,13),'⚡ COMMAND TRACKER'!$Y$5:$Y$204,0)),"")</f>
        <v>0</v>
      </c>
      <c r="E16" s="17" t="n">
        <f aca="false">IFERROR(INDEX('⚡ COMMAND TRACKER'!$H$5:$H$204,MATCH(LARGE('⚡ COMMAND TRACKER'!$Y$5:$Y$204,13),'⚡ COMMAND TRACKER'!$Y$5:$Y$204,0)),"")</f>
        <v>0</v>
      </c>
      <c r="F16" s="28" t="n">
        <f aca="false">IFERROR(LARGE('⚡ COMMAND TRACKER'!$Y$5:$Y$204,13),"")</f>
        <v>0</v>
      </c>
      <c r="G16" s="18" t="str">
        <f aca="false">IFERROR(INDEX('⚡ COMMAND TRACKER'!$Z$5:$Z$204,MATCH(LARGE('⚡ COMMAND TRACKER'!$Y$5:$Y$204,13),'⚡ COMMAND TRACKER'!$Y$5:$Y$204,0)),"")</f>
        <v/>
      </c>
      <c r="H16" s="29" t="n">
        <f aca="false">IFERROR(INDEX('⚡ COMMAND TRACKER'!$T$5:$T$204,MATCH(LARGE('⚡ COMMAND TRACKER'!$Y$5:$Y$204,13),'⚡ COMMAND TRACKER'!$Y$5:$Y$204,0)),"")</f>
        <v>0</v>
      </c>
      <c r="I16" s="18" t="n">
        <f aca="false">IFERROR(INDEX('⚡ COMMAND TRACKER'!$U$5:$U$204,MATCH(LARGE('⚡ COMMAND TRACKER'!$Y$5:$Y$204,13),'⚡ COMMAND TRACKER'!$Y$5:$Y$204,0)),"")</f>
        <v>0</v>
      </c>
      <c r="J16" s="17" t="n">
        <f aca="false">IFERROR(INDEX('⚡ COMMAND TRACKER'!$X$5:$X$204,MATCH(LARGE('⚡ COMMAND TRACKER'!$Y$5:$Y$204,13),'⚡ COMMAND TRACKER'!$Y$5:$Y$204,0)),"")</f>
        <v>0</v>
      </c>
      <c r="K16" s="21" t="n">
        <f aca="false">IFERROR(INDEX('⚡ COMMAND TRACKER'!$AC$5:$AC$204,MATCH(LARGE('⚡ COMMAND TRACKER'!$Y$5:$Y$204,13),'⚡ COMMAND TRACKER'!$Y$5:$Y$204,0)),"")</f>
        <v>0</v>
      </c>
      <c r="L16" s="23" t="str">
        <f aca="true">IFERROR(IF(K16="","",K16-TODAY()),"")</f>
        <v/>
      </c>
      <c r="M16" s="17" t="n">
        <f aca="false">IFERROR(INDEX('⚡ COMMAND TRACKER'!$AE$5:$AE$204,MATCH(LARGE('⚡ COMMAND TRACKER'!$Y$5:$Y$204,13),'⚡ COMMAND TRACKER'!$Y$5:$Y$204,0)),"")</f>
        <v>0</v>
      </c>
    </row>
    <row r="17" customFormat="false" ht="19.5" hidden="false" customHeight="true" outlineLevel="0" collapsed="false">
      <c r="A17" s="10" t="str">
        <f aca="false">IFERROR(INDEX('⚡ COMMAND TRACKER'!$AA$5:$AA$204,MATCH(LARGE('⚡ COMMAND TRACKER'!$Y$5:$Y$204,14),'⚡ COMMAND TRACKER'!$Y$5:$Y$204,0)),"")</f>
        <v>⏳ WORKING</v>
      </c>
      <c r="B17" s="10" t="n">
        <f aca="false">IFERROR(INDEX('⚡ COMMAND TRACKER'!$A$5:$A$204,MATCH(LARGE('⚡ COMMAND TRACKER'!$Y$5:$Y$204,14),'⚡ COMMAND TRACKER'!$Y$5:$Y$204,0)),"")</f>
        <v>0</v>
      </c>
      <c r="C17" s="10" t="n">
        <f aca="false">IFERROR(INDEX('⚡ COMMAND TRACKER'!$E$5:$E$204,MATCH(LARGE('⚡ COMMAND TRACKER'!$Y$5:$Y$204,14),'⚡ COMMAND TRACKER'!$Y$5:$Y$204,0)),"")</f>
        <v>0</v>
      </c>
      <c r="D17" s="30" t="n">
        <f aca="false">IFERROR(INDEX('⚡ COMMAND TRACKER'!$B$5:$B$204,MATCH(LARGE('⚡ COMMAND TRACKER'!$Y$5:$Y$204,14),'⚡ COMMAND TRACKER'!$Y$5:$Y$204,0)),"")</f>
        <v>0</v>
      </c>
      <c r="E17" s="10" t="n">
        <f aca="false">IFERROR(INDEX('⚡ COMMAND TRACKER'!$H$5:$H$204,MATCH(LARGE('⚡ COMMAND TRACKER'!$Y$5:$Y$204,14),'⚡ COMMAND TRACKER'!$Y$5:$Y$204,0)),"")</f>
        <v>0</v>
      </c>
      <c r="F17" s="31" t="n">
        <f aca="false">IFERROR(LARGE('⚡ COMMAND TRACKER'!$Y$5:$Y$204,14),"")</f>
        <v>0</v>
      </c>
      <c r="G17" s="11" t="str">
        <f aca="false">IFERROR(INDEX('⚡ COMMAND TRACKER'!$Z$5:$Z$204,MATCH(LARGE('⚡ COMMAND TRACKER'!$Y$5:$Y$204,14),'⚡ COMMAND TRACKER'!$Y$5:$Y$204,0)),"")</f>
        <v/>
      </c>
      <c r="H17" s="32" t="n">
        <f aca="false">IFERROR(INDEX('⚡ COMMAND TRACKER'!$T$5:$T$204,MATCH(LARGE('⚡ COMMAND TRACKER'!$Y$5:$Y$204,14),'⚡ COMMAND TRACKER'!$Y$5:$Y$204,0)),"")</f>
        <v>0</v>
      </c>
      <c r="I17" s="11" t="n">
        <f aca="false">IFERROR(INDEX('⚡ COMMAND TRACKER'!$U$5:$U$204,MATCH(LARGE('⚡ COMMAND TRACKER'!$Y$5:$Y$204,14),'⚡ COMMAND TRACKER'!$Y$5:$Y$204,0)),"")</f>
        <v>0</v>
      </c>
      <c r="J17" s="10" t="n">
        <f aca="false">IFERROR(INDEX('⚡ COMMAND TRACKER'!$X$5:$X$204,MATCH(LARGE('⚡ COMMAND TRACKER'!$Y$5:$Y$204,14),'⚡ COMMAND TRACKER'!$Y$5:$Y$204,0)),"")</f>
        <v>0</v>
      </c>
      <c r="K17" s="14" t="n">
        <f aca="false">IFERROR(INDEX('⚡ COMMAND TRACKER'!$AC$5:$AC$204,MATCH(LARGE('⚡ COMMAND TRACKER'!$Y$5:$Y$204,14),'⚡ COMMAND TRACKER'!$Y$5:$Y$204,0)),"")</f>
        <v>0</v>
      </c>
      <c r="L17" s="16" t="str">
        <f aca="true">IFERROR(IF(K17="","",K17-TODAY()),"")</f>
        <v/>
      </c>
      <c r="M17" s="10" t="n">
        <f aca="false">IFERROR(INDEX('⚡ COMMAND TRACKER'!$AE$5:$AE$204,MATCH(LARGE('⚡ COMMAND TRACKER'!$Y$5:$Y$204,14),'⚡ COMMAND TRACKER'!$Y$5:$Y$204,0)),"")</f>
        <v>0</v>
      </c>
    </row>
    <row r="18" customFormat="false" ht="19.5" hidden="false" customHeight="true" outlineLevel="0" collapsed="false">
      <c r="A18" s="17" t="str">
        <f aca="false">IFERROR(INDEX('⚡ COMMAND TRACKER'!$AA$5:$AA$204,MATCH(LARGE('⚡ COMMAND TRACKER'!$Y$5:$Y$204,15),'⚡ COMMAND TRACKER'!$Y$5:$Y$204,0)),"")</f>
        <v>⏳ WORKING</v>
      </c>
      <c r="B18" s="17" t="n">
        <f aca="false">IFERROR(INDEX('⚡ COMMAND TRACKER'!$A$5:$A$204,MATCH(LARGE('⚡ COMMAND TRACKER'!$Y$5:$Y$204,15),'⚡ COMMAND TRACKER'!$Y$5:$Y$204,0)),"")</f>
        <v>0</v>
      </c>
      <c r="C18" s="17" t="n">
        <f aca="false">IFERROR(INDEX('⚡ COMMAND TRACKER'!$E$5:$E$204,MATCH(LARGE('⚡ COMMAND TRACKER'!$Y$5:$Y$204,15),'⚡ COMMAND TRACKER'!$Y$5:$Y$204,0)),"")</f>
        <v>0</v>
      </c>
      <c r="D18" s="27" t="n">
        <f aca="false">IFERROR(INDEX('⚡ COMMAND TRACKER'!$B$5:$B$204,MATCH(LARGE('⚡ COMMAND TRACKER'!$Y$5:$Y$204,15),'⚡ COMMAND TRACKER'!$Y$5:$Y$204,0)),"")</f>
        <v>0</v>
      </c>
      <c r="E18" s="17" t="n">
        <f aca="false">IFERROR(INDEX('⚡ COMMAND TRACKER'!$H$5:$H$204,MATCH(LARGE('⚡ COMMAND TRACKER'!$Y$5:$Y$204,15),'⚡ COMMAND TRACKER'!$Y$5:$Y$204,0)),"")</f>
        <v>0</v>
      </c>
      <c r="F18" s="28" t="n">
        <f aca="false">IFERROR(LARGE('⚡ COMMAND TRACKER'!$Y$5:$Y$204,15),"")</f>
        <v>0</v>
      </c>
      <c r="G18" s="18" t="str">
        <f aca="false">IFERROR(INDEX('⚡ COMMAND TRACKER'!$Z$5:$Z$204,MATCH(LARGE('⚡ COMMAND TRACKER'!$Y$5:$Y$204,15),'⚡ COMMAND TRACKER'!$Y$5:$Y$204,0)),"")</f>
        <v/>
      </c>
      <c r="H18" s="29" t="n">
        <f aca="false">IFERROR(INDEX('⚡ COMMAND TRACKER'!$T$5:$T$204,MATCH(LARGE('⚡ COMMAND TRACKER'!$Y$5:$Y$204,15),'⚡ COMMAND TRACKER'!$Y$5:$Y$204,0)),"")</f>
        <v>0</v>
      </c>
      <c r="I18" s="18" t="n">
        <f aca="false">IFERROR(INDEX('⚡ COMMAND TRACKER'!$U$5:$U$204,MATCH(LARGE('⚡ COMMAND TRACKER'!$Y$5:$Y$204,15),'⚡ COMMAND TRACKER'!$Y$5:$Y$204,0)),"")</f>
        <v>0</v>
      </c>
      <c r="J18" s="17" t="n">
        <f aca="false">IFERROR(INDEX('⚡ COMMAND TRACKER'!$X$5:$X$204,MATCH(LARGE('⚡ COMMAND TRACKER'!$Y$5:$Y$204,15),'⚡ COMMAND TRACKER'!$Y$5:$Y$204,0)),"")</f>
        <v>0</v>
      </c>
      <c r="K18" s="21" t="n">
        <f aca="false">IFERROR(INDEX('⚡ COMMAND TRACKER'!$AC$5:$AC$204,MATCH(LARGE('⚡ COMMAND TRACKER'!$Y$5:$Y$204,15),'⚡ COMMAND TRACKER'!$Y$5:$Y$204,0)),"")</f>
        <v>0</v>
      </c>
      <c r="L18" s="23" t="str">
        <f aca="true">IFERROR(IF(K18="","",K18-TODAY()),"")</f>
        <v/>
      </c>
      <c r="M18" s="17" t="n">
        <f aca="false">IFERROR(INDEX('⚡ COMMAND TRACKER'!$AE$5:$AE$204,MATCH(LARGE('⚡ COMMAND TRACKER'!$Y$5:$Y$204,15),'⚡ COMMAND TRACKER'!$Y$5:$Y$204,0)),"")</f>
        <v>0</v>
      </c>
    </row>
    <row r="19" customFormat="false" ht="19.5" hidden="false" customHeight="true" outlineLevel="0" collapsed="false">
      <c r="A19" s="10" t="str">
        <f aca="false">IFERROR(INDEX('⚡ COMMAND TRACKER'!$AA$5:$AA$204,MATCH(LARGE('⚡ COMMAND TRACKER'!$Y$5:$Y$204,16),'⚡ COMMAND TRACKER'!$Y$5:$Y$204,0)),"")</f>
        <v>⏳ WORKING</v>
      </c>
      <c r="B19" s="10" t="n">
        <f aca="false">IFERROR(INDEX('⚡ COMMAND TRACKER'!$A$5:$A$204,MATCH(LARGE('⚡ COMMAND TRACKER'!$Y$5:$Y$204,16),'⚡ COMMAND TRACKER'!$Y$5:$Y$204,0)),"")</f>
        <v>0</v>
      </c>
      <c r="C19" s="10" t="n">
        <f aca="false">IFERROR(INDEX('⚡ COMMAND TRACKER'!$E$5:$E$204,MATCH(LARGE('⚡ COMMAND TRACKER'!$Y$5:$Y$204,16),'⚡ COMMAND TRACKER'!$Y$5:$Y$204,0)),"")</f>
        <v>0</v>
      </c>
      <c r="D19" s="30" t="n">
        <f aca="false">IFERROR(INDEX('⚡ COMMAND TRACKER'!$B$5:$B$204,MATCH(LARGE('⚡ COMMAND TRACKER'!$Y$5:$Y$204,16),'⚡ COMMAND TRACKER'!$Y$5:$Y$204,0)),"")</f>
        <v>0</v>
      </c>
      <c r="E19" s="10" t="n">
        <f aca="false">IFERROR(INDEX('⚡ COMMAND TRACKER'!$H$5:$H$204,MATCH(LARGE('⚡ COMMAND TRACKER'!$Y$5:$Y$204,16),'⚡ COMMAND TRACKER'!$Y$5:$Y$204,0)),"")</f>
        <v>0</v>
      </c>
      <c r="F19" s="31" t="n">
        <f aca="false">IFERROR(LARGE('⚡ COMMAND TRACKER'!$Y$5:$Y$204,16),"")</f>
        <v>0</v>
      </c>
      <c r="G19" s="11" t="str">
        <f aca="false">IFERROR(INDEX('⚡ COMMAND TRACKER'!$Z$5:$Z$204,MATCH(LARGE('⚡ COMMAND TRACKER'!$Y$5:$Y$204,16),'⚡ COMMAND TRACKER'!$Y$5:$Y$204,0)),"")</f>
        <v/>
      </c>
      <c r="H19" s="32" t="n">
        <f aca="false">IFERROR(INDEX('⚡ COMMAND TRACKER'!$T$5:$T$204,MATCH(LARGE('⚡ COMMAND TRACKER'!$Y$5:$Y$204,16),'⚡ COMMAND TRACKER'!$Y$5:$Y$204,0)),"")</f>
        <v>0</v>
      </c>
      <c r="I19" s="11" t="n">
        <f aca="false">IFERROR(INDEX('⚡ COMMAND TRACKER'!$U$5:$U$204,MATCH(LARGE('⚡ COMMAND TRACKER'!$Y$5:$Y$204,16),'⚡ COMMAND TRACKER'!$Y$5:$Y$204,0)),"")</f>
        <v>0</v>
      </c>
      <c r="J19" s="10" t="n">
        <f aca="false">IFERROR(INDEX('⚡ COMMAND TRACKER'!$X$5:$X$204,MATCH(LARGE('⚡ COMMAND TRACKER'!$Y$5:$Y$204,16),'⚡ COMMAND TRACKER'!$Y$5:$Y$204,0)),"")</f>
        <v>0</v>
      </c>
      <c r="K19" s="14" t="n">
        <f aca="false">IFERROR(INDEX('⚡ COMMAND TRACKER'!$AC$5:$AC$204,MATCH(LARGE('⚡ COMMAND TRACKER'!$Y$5:$Y$204,16),'⚡ COMMAND TRACKER'!$Y$5:$Y$204,0)),"")</f>
        <v>0</v>
      </c>
      <c r="L19" s="16" t="str">
        <f aca="true">IFERROR(IF(K19="","",K19-TODAY()),"")</f>
        <v/>
      </c>
      <c r="M19" s="10" t="n">
        <f aca="false">IFERROR(INDEX('⚡ COMMAND TRACKER'!$AE$5:$AE$204,MATCH(LARGE('⚡ COMMAND TRACKER'!$Y$5:$Y$204,16),'⚡ COMMAND TRACKER'!$Y$5:$Y$204,0)),"")</f>
        <v>0</v>
      </c>
    </row>
    <row r="20" customFormat="false" ht="19.5" hidden="false" customHeight="true" outlineLevel="0" collapsed="false">
      <c r="A20" s="17" t="str">
        <f aca="false">IFERROR(INDEX('⚡ COMMAND TRACKER'!$AA$5:$AA$204,MATCH(LARGE('⚡ COMMAND TRACKER'!$Y$5:$Y$204,17),'⚡ COMMAND TRACKER'!$Y$5:$Y$204,0)),"")</f>
        <v>⏳ WORKING</v>
      </c>
      <c r="B20" s="17" t="n">
        <f aca="false">IFERROR(INDEX('⚡ COMMAND TRACKER'!$A$5:$A$204,MATCH(LARGE('⚡ COMMAND TRACKER'!$Y$5:$Y$204,17),'⚡ COMMAND TRACKER'!$Y$5:$Y$204,0)),"")</f>
        <v>0</v>
      </c>
      <c r="C20" s="17" t="n">
        <f aca="false">IFERROR(INDEX('⚡ COMMAND TRACKER'!$E$5:$E$204,MATCH(LARGE('⚡ COMMAND TRACKER'!$Y$5:$Y$204,17),'⚡ COMMAND TRACKER'!$Y$5:$Y$204,0)),"")</f>
        <v>0</v>
      </c>
      <c r="D20" s="27" t="n">
        <f aca="false">IFERROR(INDEX('⚡ COMMAND TRACKER'!$B$5:$B$204,MATCH(LARGE('⚡ COMMAND TRACKER'!$Y$5:$Y$204,17),'⚡ COMMAND TRACKER'!$Y$5:$Y$204,0)),"")</f>
        <v>0</v>
      </c>
      <c r="E20" s="17" t="n">
        <f aca="false">IFERROR(INDEX('⚡ COMMAND TRACKER'!$H$5:$H$204,MATCH(LARGE('⚡ COMMAND TRACKER'!$Y$5:$Y$204,17),'⚡ COMMAND TRACKER'!$Y$5:$Y$204,0)),"")</f>
        <v>0</v>
      </c>
      <c r="F20" s="28" t="n">
        <f aca="false">IFERROR(LARGE('⚡ COMMAND TRACKER'!$Y$5:$Y$204,17),"")</f>
        <v>0</v>
      </c>
      <c r="G20" s="18" t="str">
        <f aca="false">IFERROR(INDEX('⚡ COMMAND TRACKER'!$Z$5:$Z$204,MATCH(LARGE('⚡ COMMAND TRACKER'!$Y$5:$Y$204,17),'⚡ COMMAND TRACKER'!$Y$5:$Y$204,0)),"")</f>
        <v/>
      </c>
      <c r="H20" s="29" t="n">
        <f aca="false">IFERROR(INDEX('⚡ COMMAND TRACKER'!$T$5:$T$204,MATCH(LARGE('⚡ COMMAND TRACKER'!$Y$5:$Y$204,17),'⚡ COMMAND TRACKER'!$Y$5:$Y$204,0)),"")</f>
        <v>0</v>
      </c>
      <c r="I20" s="18" t="n">
        <f aca="false">IFERROR(INDEX('⚡ COMMAND TRACKER'!$U$5:$U$204,MATCH(LARGE('⚡ COMMAND TRACKER'!$Y$5:$Y$204,17),'⚡ COMMAND TRACKER'!$Y$5:$Y$204,0)),"")</f>
        <v>0</v>
      </c>
      <c r="J20" s="17" t="n">
        <f aca="false">IFERROR(INDEX('⚡ COMMAND TRACKER'!$X$5:$X$204,MATCH(LARGE('⚡ COMMAND TRACKER'!$Y$5:$Y$204,17),'⚡ COMMAND TRACKER'!$Y$5:$Y$204,0)),"")</f>
        <v>0</v>
      </c>
      <c r="K20" s="21" t="n">
        <f aca="false">IFERROR(INDEX('⚡ COMMAND TRACKER'!$AC$5:$AC$204,MATCH(LARGE('⚡ COMMAND TRACKER'!$Y$5:$Y$204,17),'⚡ COMMAND TRACKER'!$Y$5:$Y$204,0)),"")</f>
        <v>0</v>
      </c>
      <c r="L20" s="23" t="str">
        <f aca="true">IFERROR(IF(K20="","",K20-TODAY()),"")</f>
        <v/>
      </c>
      <c r="M20" s="17" t="n">
        <f aca="false">IFERROR(INDEX('⚡ COMMAND TRACKER'!$AE$5:$AE$204,MATCH(LARGE('⚡ COMMAND TRACKER'!$Y$5:$Y$204,17),'⚡ COMMAND TRACKER'!$Y$5:$Y$204,0)),"")</f>
        <v>0</v>
      </c>
    </row>
    <row r="21" customFormat="false" ht="19.5" hidden="false" customHeight="true" outlineLevel="0" collapsed="false">
      <c r="A21" s="10" t="str">
        <f aca="false">IFERROR(INDEX('⚡ COMMAND TRACKER'!$AA$5:$AA$204,MATCH(LARGE('⚡ COMMAND TRACKER'!$Y$5:$Y$204,18),'⚡ COMMAND TRACKER'!$Y$5:$Y$204,0)),"")</f>
        <v>⏳ WORKING</v>
      </c>
      <c r="B21" s="10" t="n">
        <f aca="false">IFERROR(INDEX('⚡ COMMAND TRACKER'!$A$5:$A$204,MATCH(LARGE('⚡ COMMAND TRACKER'!$Y$5:$Y$204,18),'⚡ COMMAND TRACKER'!$Y$5:$Y$204,0)),"")</f>
        <v>0</v>
      </c>
      <c r="C21" s="10" t="n">
        <f aca="false">IFERROR(INDEX('⚡ COMMAND TRACKER'!$E$5:$E$204,MATCH(LARGE('⚡ COMMAND TRACKER'!$Y$5:$Y$204,18),'⚡ COMMAND TRACKER'!$Y$5:$Y$204,0)),"")</f>
        <v>0</v>
      </c>
      <c r="D21" s="30" t="n">
        <f aca="false">IFERROR(INDEX('⚡ COMMAND TRACKER'!$B$5:$B$204,MATCH(LARGE('⚡ COMMAND TRACKER'!$Y$5:$Y$204,18),'⚡ COMMAND TRACKER'!$Y$5:$Y$204,0)),"")</f>
        <v>0</v>
      </c>
      <c r="E21" s="10" t="n">
        <f aca="false">IFERROR(INDEX('⚡ COMMAND TRACKER'!$H$5:$H$204,MATCH(LARGE('⚡ COMMAND TRACKER'!$Y$5:$Y$204,18),'⚡ COMMAND TRACKER'!$Y$5:$Y$204,0)),"")</f>
        <v>0</v>
      </c>
      <c r="F21" s="31" t="n">
        <f aca="false">IFERROR(LARGE('⚡ COMMAND TRACKER'!$Y$5:$Y$204,18),"")</f>
        <v>0</v>
      </c>
      <c r="G21" s="11" t="str">
        <f aca="false">IFERROR(INDEX('⚡ COMMAND TRACKER'!$Z$5:$Z$204,MATCH(LARGE('⚡ COMMAND TRACKER'!$Y$5:$Y$204,18),'⚡ COMMAND TRACKER'!$Y$5:$Y$204,0)),"")</f>
        <v/>
      </c>
      <c r="H21" s="32" t="n">
        <f aca="false">IFERROR(INDEX('⚡ COMMAND TRACKER'!$T$5:$T$204,MATCH(LARGE('⚡ COMMAND TRACKER'!$Y$5:$Y$204,18),'⚡ COMMAND TRACKER'!$Y$5:$Y$204,0)),"")</f>
        <v>0</v>
      </c>
      <c r="I21" s="11" t="n">
        <f aca="false">IFERROR(INDEX('⚡ COMMAND TRACKER'!$U$5:$U$204,MATCH(LARGE('⚡ COMMAND TRACKER'!$Y$5:$Y$204,18),'⚡ COMMAND TRACKER'!$Y$5:$Y$204,0)),"")</f>
        <v>0</v>
      </c>
      <c r="J21" s="10" t="n">
        <f aca="false">IFERROR(INDEX('⚡ COMMAND TRACKER'!$X$5:$X$204,MATCH(LARGE('⚡ COMMAND TRACKER'!$Y$5:$Y$204,18),'⚡ COMMAND TRACKER'!$Y$5:$Y$204,0)),"")</f>
        <v>0</v>
      </c>
      <c r="K21" s="14" t="n">
        <f aca="false">IFERROR(INDEX('⚡ COMMAND TRACKER'!$AC$5:$AC$204,MATCH(LARGE('⚡ COMMAND TRACKER'!$Y$5:$Y$204,18),'⚡ COMMAND TRACKER'!$Y$5:$Y$204,0)),"")</f>
        <v>0</v>
      </c>
      <c r="L21" s="16" t="str">
        <f aca="true">IFERROR(IF(K21="","",K21-TODAY()),"")</f>
        <v/>
      </c>
      <c r="M21" s="10" t="n">
        <f aca="false">IFERROR(INDEX('⚡ COMMAND TRACKER'!$AE$5:$AE$204,MATCH(LARGE('⚡ COMMAND TRACKER'!$Y$5:$Y$204,18),'⚡ COMMAND TRACKER'!$Y$5:$Y$204,0)),"")</f>
        <v>0</v>
      </c>
    </row>
    <row r="22" customFormat="false" ht="19.5" hidden="false" customHeight="true" outlineLevel="0" collapsed="false">
      <c r="A22" s="17" t="str">
        <f aca="false">IFERROR(INDEX('⚡ COMMAND TRACKER'!$AA$5:$AA$204,MATCH(LARGE('⚡ COMMAND TRACKER'!$Y$5:$Y$204,19),'⚡ COMMAND TRACKER'!$Y$5:$Y$204,0)),"")</f>
        <v>⏳ WORKING</v>
      </c>
      <c r="B22" s="17" t="n">
        <f aca="false">IFERROR(INDEX('⚡ COMMAND TRACKER'!$A$5:$A$204,MATCH(LARGE('⚡ COMMAND TRACKER'!$Y$5:$Y$204,19),'⚡ COMMAND TRACKER'!$Y$5:$Y$204,0)),"")</f>
        <v>0</v>
      </c>
      <c r="C22" s="17" t="n">
        <f aca="false">IFERROR(INDEX('⚡ COMMAND TRACKER'!$E$5:$E$204,MATCH(LARGE('⚡ COMMAND TRACKER'!$Y$5:$Y$204,19),'⚡ COMMAND TRACKER'!$Y$5:$Y$204,0)),"")</f>
        <v>0</v>
      </c>
      <c r="D22" s="27" t="n">
        <f aca="false">IFERROR(INDEX('⚡ COMMAND TRACKER'!$B$5:$B$204,MATCH(LARGE('⚡ COMMAND TRACKER'!$Y$5:$Y$204,19),'⚡ COMMAND TRACKER'!$Y$5:$Y$204,0)),"")</f>
        <v>0</v>
      </c>
      <c r="E22" s="17" t="n">
        <f aca="false">IFERROR(INDEX('⚡ COMMAND TRACKER'!$H$5:$H$204,MATCH(LARGE('⚡ COMMAND TRACKER'!$Y$5:$Y$204,19),'⚡ COMMAND TRACKER'!$Y$5:$Y$204,0)),"")</f>
        <v>0</v>
      </c>
      <c r="F22" s="28" t="n">
        <f aca="false">IFERROR(LARGE('⚡ COMMAND TRACKER'!$Y$5:$Y$204,19),"")</f>
        <v>0</v>
      </c>
      <c r="G22" s="18" t="str">
        <f aca="false">IFERROR(INDEX('⚡ COMMAND TRACKER'!$Z$5:$Z$204,MATCH(LARGE('⚡ COMMAND TRACKER'!$Y$5:$Y$204,19),'⚡ COMMAND TRACKER'!$Y$5:$Y$204,0)),"")</f>
        <v/>
      </c>
      <c r="H22" s="29" t="n">
        <f aca="false">IFERROR(INDEX('⚡ COMMAND TRACKER'!$T$5:$T$204,MATCH(LARGE('⚡ COMMAND TRACKER'!$Y$5:$Y$204,19),'⚡ COMMAND TRACKER'!$Y$5:$Y$204,0)),"")</f>
        <v>0</v>
      </c>
      <c r="I22" s="18" t="n">
        <f aca="false">IFERROR(INDEX('⚡ COMMAND TRACKER'!$U$5:$U$204,MATCH(LARGE('⚡ COMMAND TRACKER'!$Y$5:$Y$204,19),'⚡ COMMAND TRACKER'!$Y$5:$Y$204,0)),"")</f>
        <v>0</v>
      </c>
      <c r="J22" s="17" t="n">
        <f aca="false">IFERROR(INDEX('⚡ COMMAND TRACKER'!$X$5:$X$204,MATCH(LARGE('⚡ COMMAND TRACKER'!$Y$5:$Y$204,19),'⚡ COMMAND TRACKER'!$Y$5:$Y$204,0)),"")</f>
        <v>0</v>
      </c>
      <c r="K22" s="21" t="n">
        <f aca="false">IFERROR(INDEX('⚡ COMMAND TRACKER'!$AC$5:$AC$204,MATCH(LARGE('⚡ COMMAND TRACKER'!$Y$5:$Y$204,19),'⚡ COMMAND TRACKER'!$Y$5:$Y$204,0)),"")</f>
        <v>0</v>
      </c>
      <c r="L22" s="23" t="str">
        <f aca="true">IFERROR(IF(K22="","",K22-TODAY()),"")</f>
        <v/>
      </c>
      <c r="M22" s="17" t="n">
        <f aca="false">IFERROR(INDEX('⚡ COMMAND TRACKER'!$AE$5:$AE$204,MATCH(LARGE('⚡ COMMAND TRACKER'!$Y$5:$Y$204,19),'⚡ COMMAND TRACKER'!$Y$5:$Y$204,0)),"")</f>
        <v>0</v>
      </c>
    </row>
    <row r="23" customFormat="false" ht="19.5" hidden="false" customHeight="true" outlineLevel="0" collapsed="false">
      <c r="A23" s="10" t="str">
        <f aca="false">IFERROR(INDEX('⚡ COMMAND TRACKER'!$AA$5:$AA$204,MATCH(LARGE('⚡ COMMAND TRACKER'!$Y$5:$Y$204,20),'⚡ COMMAND TRACKER'!$Y$5:$Y$204,0)),"")</f>
        <v>⏳ WORKING</v>
      </c>
      <c r="B23" s="10" t="n">
        <f aca="false">IFERROR(INDEX('⚡ COMMAND TRACKER'!$A$5:$A$204,MATCH(LARGE('⚡ COMMAND TRACKER'!$Y$5:$Y$204,20),'⚡ COMMAND TRACKER'!$Y$5:$Y$204,0)),"")</f>
        <v>0</v>
      </c>
      <c r="C23" s="10" t="n">
        <f aca="false">IFERROR(INDEX('⚡ COMMAND TRACKER'!$E$5:$E$204,MATCH(LARGE('⚡ COMMAND TRACKER'!$Y$5:$Y$204,20),'⚡ COMMAND TRACKER'!$Y$5:$Y$204,0)),"")</f>
        <v>0</v>
      </c>
      <c r="D23" s="30" t="n">
        <f aca="false">IFERROR(INDEX('⚡ COMMAND TRACKER'!$B$5:$B$204,MATCH(LARGE('⚡ COMMAND TRACKER'!$Y$5:$Y$204,20),'⚡ COMMAND TRACKER'!$Y$5:$Y$204,0)),"")</f>
        <v>0</v>
      </c>
      <c r="E23" s="10" t="n">
        <f aca="false">IFERROR(INDEX('⚡ COMMAND TRACKER'!$H$5:$H$204,MATCH(LARGE('⚡ COMMAND TRACKER'!$Y$5:$Y$204,20),'⚡ COMMAND TRACKER'!$Y$5:$Y$204,0)),"")</f>
        <v>0</v>
      </c>
      <c r="F23" s="31" t="n">
        <f aca="false">IFERROR(LARGE('⚡ COMMAND TRACKER'!$Y$5:$Y$204,20),"")</f>
        <v>0</v>
      </c>
      <c r="G23" s="11" t="str">
        <f aca="false">IFERROR(INDEX('⚡ COMMAND TRACKER'!$Z$5:$Z$204,MATCH(LARGE('⚡ COMMAND TRACKER'!$Y$5:$Y$204,20),'⚡ COMMAND TRACKER'!$Y$5:$Y$204,0)),"")</f>
        <v/>
      </c>
      <c r="H23" s="32" t="n">
        <f aca="false">IFERROR(INDEX('⚡ COMMAND TRACKER'!$T$5:$T$204,MATCH(LARGE('⚡ COMMAND TRACKER'!$Y$5:$Y$204,20),'⚡ COMMAND TRACKER'!$Y$5:$Y$204,0)),"")</f>
        <v>0</v>
      </c>
      <c r="I23" s="11" t="n">
        <f aca="false">IFERROR(INDEX('⚡ COMMAND TRACKER'!$U$5:$U$204,MATCH(LARGE('⚡ COMMAND TRACKER'!$Y$5:$Y$204,20),'⚡ COMMAND TRACKER'!$Y$5:$Y$204,0)),"")</f>
        <v>0</v>
      </c>
      <c r="J23" s="10" t="n">
        <f aca="false">IFERROR(INDEX('⚡ COMMAND TRACKER'!$X$5:$X$204,MATCH(LARGE('⚡ COMMAND TRACKER'!$Y$5:$Y$204,20),'⚡ COMMAND TRACKER'!$Y$5:$Y$204,0)),"")</f>
        <v>0</v>
      </c>
      <c r="K23" s="14" t="n">
        <f aca="false">IFERROR(INDEX('⚡ COMMAND TRACKER'!$AC$5:$AC$204,MATCH(LARGE('⚡ COMMAND TRACKER'!$Y$5:$Y$204,20),'⚡ COMMAND TRACKER'!$Y$5:$Y$204,0)),"")</f>
        <v>0</v>
      </c>
      <c r="L23" s="16" t="str">
        <f aca="true">IFERROR(IF(K23="","",K23-TODAY()),"")</f>
        <v/>
      </c>
      <c r="M23" s="10" t="n">
        <f aca="false">IFERROR(INDEX('⚡ COMMAND TRACKER'!$AE$5:$AE$204,MATCH(LARGE('⚡ COMMAND TRACKER'!$Y$5:$Y$204,20),'⚡ COMMAND TRACKER'!$Y$5:$Y$204,0)),"")</f>
        <v>0</v>
      </c>
    </row>
    <row r="24" customFormat="false" ht="19.5" hidden="false" customHeight="true" outlineLevel="0" collapsed="false">
      <c r="A24" s="17" t="str">
        <f aca="false">IFERROR(INDEX('⚡ COMMAND TRACKER'!$AA$5:$AA$204,MATCH(LARGE('⚡ COMMAND TRACKER'!$Y$5:$Y$204,21),'⚡ COMMAND TRACKER'!$Y$5:$Y$204,0)),"")</f>
        <v>⏳ WORKING</v>
      </c>
      <c r="B24" s="17" t="n">
        <f aca="false">IFERROR(INDEX('⚡ COMMAND TRACKER'!$A$5:$A$204,MATCH(LARGE('⚡ COMMAND TRACKER'!$Y$5:$Y$204,21),'⚡ COMMAND TRACKER'!$Y$5:$Y$204,0)),"")</f>
        <v>0</v>
      </c>
      <c r="C24" s="17" t="n">
        <f aca="false">IFERROR(INDEX('⚡ COMMAND TRACKER'!$E$5:$E$204,MATCH(LARGE('⚡ COMMAND TRACKER'!$Y$5:$Y$204,21),'⚡ COMMAND TRACKER'!$Y$5:$Y$204,0)),"")</f>
        <v>0</v>
      </c>
      <c r="D24" s="27" t="n">
        <f aca="false">IFERROR(INDEX('⚡ COMMAND TRACKER'!$B$5:$B$204,MATCH(LARGE('⚡ COMMAND TRACKER'!$Y$5:$Y$204,21),'⚡ COMMAND TRACKER'!$Y$5:$Y$204,0)),"")</f>
        <v>0</v>
      </c>
      <c r="E24" s="17" t="n">
        <f aca="false">IFERROR(INDEX('⚡ COMMAND TRACKER'!$H$5:$H$204,MATCH(LARGE('⚡ COMMAND TRACKER'!$Y$5:$Y$204,21),'⚡ COMMAND TRACKER'!$Y$5:$Y$204,0)),"")</f>
        <v>0</v>
      </c>
      <c r="F24" s="28" t="n">
        <f aca="false">IFERROR(LARGE('⚡ COMMAND TRACKER'!$Y$5:$Y$204,21),"")</f>
        <v>0</v>
      </c>
      <c r="G24" s="18" t="str">
        <f aca="false">IFERROR(INDEX('⚡ COMMAND TRACKER'!$Z$5:$Z$204,MATCH(LARGE('⚡ COMMAND TRACKER'!$Y$5:$Y$204,21),'⚡ COMMAND TRACKER'!$Y$5:$Y$204,0)),"")</f>
        <v/>
      </c>
      <c r="H24" s="29" t="n">
        <f aca="false">IFERROR(INDEX('⚡ COMMAND TRACKER'!$T$5:$T$204,MATCH(LARGE('⚡ COMMAND TRACKER'!$Y$5:$Y$204,21),'⚡ COMMAND TRACKER'!$Y$5:$Y$204,0)),"")</f>
        <v>0</v>
      </c>
      <c r="I24" s="18" t="n">
        <f aca="false">IFERROR(INDEX('⚡ COMMAND TRACKER'!$U$5:$U$204,MATCH(LARGE('⚡ COMMAND TRACKER'!$Y$5:$Y$204,21),'⚡ COMMAND TRACKER'!$Y$5:$Y$204,0)),"")</f>
        <v>0</v>
      </c>
      <c r="J24" s="17" t="n">
        <f aca="false">IFERROR(INDEX('⚡ COMMAND TRACKER'!$X$5:$X$204,MATCH(LARGE('⚡ COMMAND TRACKER'!$Y$5:$Y$204,21),'⚡ COMMAND TRACKER'!$Y$5:$Y$204,0)),"")</f>
        <v>0</v>
      </c>
      <c r="K24" s="21" t="n">
        <f aca="false">IFERROR(INDEX('⚡ COMMAND TRACKER'!$AC$5:$AC$204,MATCH(LARGE('⚡ COMMAND TRACKER'!$Y$5:$Y$204,21),'⚡ COMMAND TRACKER'!$Y$5:$Y$204,0)),"")</f>
        <v>0</v>
      </c>
      <c r="L24" s="23" t="str">
        <f aca="true">IFERROR(IF(K24="","",K24-TODAY()),"")</f>
        <v/>
      </c>
      <c r="M24" s="17" t="n">
        <f aca="false">IFERROR(INDEX('⚡ COMMAND TRACKER'!$AE$5:$AE$204,MATCH(LARGE('⚡ COMMAND TRACKER'!$Y$5:$Y$204,21),'⚡ COMMAND TRACKER'!$Y$5:$Y$204,0)),"")</f>
        <v>0</v>
      </c>
    </row>
    <row r="25" customFormat="false" ht="19.5" hidden="false" customHeight="true" outlineLevel="0" collapsed="false">
      <c r="A25" s="10" t="str">
        <f aca="false">IFERROR(INDEX('⚡ COMMAND TRACKER'!$AA$5:$AA$204,MATCH(LARGE('⚡ COMMAND TRACKER'!$Y$5:$Y$204,22),'⚡ COMMAND TRACKER'!$Y$5:$Y$204,0)),"")</f>
        <v>⏳ WORKING</v>
      </c>
      <c r="B25" s="10" t="n">
        <f aca="false">IFERROR(INDEX('⚡ COMMAND TRACKER'!$A$5:$A$204,MATCH(LARGE('⚡ COMMAND TRACKER'!$Y$5:$Y$204,22),'⚡ COMMAND TRACKER'!$Y$5:$Y$204,0)),"")</f>
        <v>0</v>
      </c>
      <c r="C25" s="10" t="n">
        <f aca="false">IFERROR(INDEX('⚡ COMMAND TRACKER'!$E$5:$E$204,MATCH(LARGE('⚡ COMMAND TRACKER'!$Y$5:$Y$204,22),'⚡ COMMAND TRACKER'!$Y$5:$Y$204,0)),"")</f>
        <v>0</v>
      </c>
      <c r="D25" s="30" t="n">
        <f aca="false">IFERROR(INDEX('⚡ COMMAND TRACKER'!$B$5:$B$204,MATCH(LARGE('⚡ COMMAND TRACKER'!$Y$5:$Y$204,22),'⚡ COMMAND TRACKER'!$Y$5:$Y$204,0)),"")</f>
        <v>0</v>
      </c>
      <c r="E25" s="10" t="n">
        <f aca="false">IFERROR(INDEX('⚡ COMMAND TRACKER'!$H$5:$H$204,MATCH(LARGE('⚡ COMMAND TRACKER'!$Y$5:$Y$204,22),'⚡ COMMAND TRACKER'!$Y$5:$Y$204,0)),"")</f>
        <v>0</v>
      </c>
      <c r="F25" s="31" t="n">
        <f aca="false">IFERROR(LARGE('⚡ COMMAND TRACKER'!$Y$5:$Y$204,22),"")</f>
        <v>0</v>
      </c>
      <c r="G25" s="11" t="str">
        <f aca="false">IFERROR(INDEX('⚡ COMMAND TRACKER'!$Z$5:$Z$204,MATCH(LARGE('⚡ COMMAND TRACKER'!$Y$5:$Y$204,22),'⚡ COMMAND TRACKER'!$Y$5:$Y$204,0)),"")</f>
        <v/>
      </c>
      <c r="H25" s="32" t="n">
        <f aca="false">IFERROR(INDEX('⚡ COMMAND TRACKER'!$T$5:$T$204,MATCH(LARGE('⚡ COMMAND TRACKER'!$Y$5:$Y$204,22),'⚡ COMMAND TRACKER'!$Y$5:$Y$204,0)),"")</f>
        <v>0</v>
      </c>
      <c r="I25" s="11" t="n">
        <f aca="false">IFERROR(INDEX('⚡ COMMAND TRACKER'!$U$5:$U$204,MATCH(LARGE('⚡ COMMAND TRACKER'!$Y$5:$Y$204,22),'⚡ COMMAND TRACKER'!$Y$5:$Y$204,0)),"")</f>
        <v>0</v>
      </c>
      <c r="J25" s="10" t="n">
        <f aca="false">IFERROR(INDEX('⚡ COMMAND TRACKER'!$X$5:$X$204,MATCH(LARGE('⚡ COMMAND TRACKER'!$Y$5:$Y$204,22),'⚡ COMMAND TRACKER'!$Y$5:$Y$204,0)),"")</f>
        <v>0</v>
      </c>
      <c r="K25" s="14" t="n">
        <f aca="false">IFERROR(INDEX('⚡ COMMAND TRACKER'!$AC$5:$AC$204,MATCH(LARGE('⚡ COMMAND TRACKER'!$Y$5:$Y$204,22),'⚡ COMMAND TRACKER'!$Y$5:$Y$204,0)),"")</f>
        <v>0</v>
      </c>
      <c r="L25" s="16" t="str">
        <f aca="true">IFERROR(IF(K25="","",K25-TODAY()),"")</f>
        <v/>
      </c>
      <c r="M25" s="10" t="n">
        <f aca="false">IFERROR(INDEX('⚡ COMMAND TRACKER'!$AE$5:$AE$204,MATCH(LARGE('⚡ COMMAND TRACKER'!$Y$5:$Y$204,22),'⚡ COMMAND TRACKER'!$Y$5:$Y$204,0)),"")</f>
        <v>0</v>
      </c>
    </row>
    <row r="26" customFormat="false" ht="19.5" hidden="false" customHeight="true" outlineLevel="0" collapsed="false">
      <c r="A26" s="17" t="str">
        <f aca="false">IFERROR(INDEX('⚡ COMMAND TRACKER'!$AA$5:$AA$204,MATCH(LARGE('⚡ COMMAND TRACKER'!$Y$5:$Y$204,23),'⚡ COMMAND TRACKER'!$Y$5:$Y$204,0)),"")</f>
        <v>⏳ WORKING</v>
      </c>
      <c r="B26" s="17" t="n">
        <f aca="false">IFERROR(INDEX('⚡ COMMAND TRACKER'!$A$5:$A$204,MATCH(LARGE('⚡ COMMAND TRACKER'!$Y$5:$Y$204,23),'⚡ COMMAND TRACKER'!$Y$5:$Y$204,0)),"")</f>
        <v>0</v>
      </c>
      <c r="C26" s="17" t="n">
        <f aca="false">IFERROR(INDEX('⚡ COMMAND TRACKER'!$E$5:$E$204,MATCH(LARGE('⚡ COMMAND TRACKER'!$Y$5:$Y$204,23),'⚡ COMMAND TRACKER'!$Y$5:$Y$204,0)),"")</f>
        <v>0</v>
      </c>
      <c r="D26" s="27" t="n">
        <f aca="false">IFERROR(INDEX('⚡ COMMAND TRACKER'!$B$5:$B$204,MATCH(LARGE('⚡ COMMAND TRACKER'!$Y$5:$Y$204,23),'⚡ COMMAND TRACKER'!$Y$5:$Y$204,0)),"")</f>
        <v>0</v>
      </c>
      <c r="E26" s="17" t="n">
        <f aca="false">IFERROR(INDEX('⚡ COMMAND TRACKER'!$H$5:$H$204,MATCH(LARGE('⚡ COMMAND TRACKER'!$Y$5:$Y$204,23),'⚡ COMMAND TRACKER'!$Y$5:$Y$204,0)),"")</f>
        <v>0</v>
      </c>
      <c r="F26" s="28" t="n">
        <f aca="false">IFERROR(LARGE('⚡ COMMAND TRACKER'!$Y$5:$Y$204,23),"")</f>
        <v>0</v>
      </c>
      <c r="G26" s="18" t="str">
        <f aca="false">IFERROR(INDEX('⚡ COMMAND TRACKER'!$Z$5:$Z$204,MATCH(LARGE('⚡ COMMAND TRACKER'!$Y$5:$Y$204,23),'⚡ COMMAND TRACKER'!$Y$5:$Y$204,0)),"")</f>
        <v/>
      </c>
      <c r="H26" s="29" t="n">
        <f aca="false">IFERROR(INDEX('⚡ COMMAND TRACKER'!$T$5:$T$204,MATCH(LARGE('⚡ COMMAND TRACKER'!$Y$5:$Y$204,23),'⚡ COMMAND TRACKER'!$Y$5:$Y$204,0)),"")</f>
        <v>0</v>
      </c>
      <c r="I26" s="18" t="n">
        <f aca="false">IFERROR(INDEX('⚡ COMMAND TRACKER'!$U$5:$U$204,MATCH(LARGE('⚡ COMMAND TRACKER'!$Y$5:$Y$204,23),'⚡ COMMAND TRACKER'!$Y$5:$Y$204,0)),"")</f>
        <v>0</v>
      </c>
      <c r="J26" s="17" t="n">
        <f aca="false">IFERROR(INDEX('⚡ COMMAND TRACKER'!$X$5:$X$204,MATCH(LARGE('⚡ COMMAND TRACKER'!$Y$5:$Y$204,23),'⚡ COMMAND TRACKER'!$Y$5:$Y$204,0)),"")</f>
        <v>0</v>
      </c>
      <c r="K26" s="21" t="n">
        <f aca="false">IFERROR(INDEX('⚡ COMMAND TRACKER'!$AC$5:$AC$204,MATCH(LARGE('⚡ COMMAND TRACKER'!$Y$5:$Y$204,23),'⚡ COMMAND TRACKER'!$Y$5:$Y$204,0)),"")</f>
        <v>0</v>
      </c>
      <c r="L26" s="23" t="str">
        <f aca="true">IFERROR(IF(K26="","",K26-TODAY()),"")</f>
        <v/>
      </c>
      <c r="M26" s="17" t="n">
        <f aca="false">IFERROR(INDEX('⚡ COMMAND TRACKER'!$AE$5:$AE$204,MATCH(LARGE('⚡ COMMAND TRACKER'!$Y$5:$Y$204,23),'⚡ COMMAND TRACKER'!$Y$5:$Y$204,0)),"")</f>
        <v>0</v>
      </c>
    </row>
    <row r="27" customFormat="false" ht="19.5" hidden="false" customHeight="true" outlineLevel="0" collapsed="false">
      <c r="A27" s="10" t="str">
        <f aca="false">IFERROR(INDEX('⚡ COMMAND TRACKER'!$AA$5:$AA$204,MATCH(LARGE('⚡ COMMAND TRACKER'!$Y$5:$Y$204,24),'⚡ COMMAND TRACKER'!$Y$5:$Y$204,0)),"")</f>
        <v>⏳ WORKING</v>
      </c>
      <c r="B27" s="10" t="n">
        <f aca="false">IFERROR(INDEX('⚡ COMMAND TRACKER'!$A$5:$A$204,MATCH(LARGE('⚡ COMMAND TRACKER'!$Y$5:$Y$204,24),'⚡ COMMAND TRACKER'!$Y$5:$Y$204,0)),"")</f>
        <v>0</v>
      </c>
      <c r="C27" s="10" t="n">
        <f aca="false">IFERROR(INDEX('⚡ COMMAND TRACKER'!$E$5:$E$204,MATCH(LARGE('⚡ COMMAND TRACKER'!$Y$5:$Y$204,24),'⚡ COMMAND TRACKER'!$Y$5:$Y$204,0)),"")</f>
        <v>0</v>
      </c>
      <c r="D27" s="30" t="n">
        <f aca="false">IFERROR(INDEX('⚡ COMMAND TRACKER'!$B$5:$B$204,MATCH(LARGE('⚡ COMMAND TRACKER'!$Y$5:$Y$204,24),'⚡ COMMAND TRACKER'!$Y$5:$Y$204,0)),"")</f>
        <v>0</v>
      </c>
      <c r="E27" s="10" t="n">
        <f aca="false">IFERROR(INDEX('⚡ COMMAND TRACKER'!$H$5:$H$204,MATCH(LARGE('⚡ COMMAND TRACKER'!$Y$5:$Y$204,24),'⚡ COMMAND TRACKER'!$Y$5:$Y$204,0)),"")</f>
        <v>0</v>
      </c>
      <c r="F27" s="31" t="n">
        <f aca="false">IFERROR(LARGE('⚡ COMMAND TRACKER'!$Y$5:$Y$204,24),"")</f>
        <v>0</v>
      </c>
      <c r="G27" s="11" t="str">
        <f aca="false">IFERROR(INDEX('⚡ COMMAND TRACKER'!$Z$5:$Z$204,MATCH(LARGE('⚡ COMMAND TRACKER'!$Y$5:$Y$204,24),'⚡ COMMAND TRACKER'!$Y$5:$Y$204,0)),"")</f>
        <v/>
      </c>
      <c r="H27" s="32" t="n">
        <f aca="false">IFERROR(INDEX('⚡ COMMAND TRACKER'!$T$5:$T$204,MATCH(LARGE('⚡ COMMAND TRACKER'!$Y$5:$Y$204,24),'⚡ COMMAND TRACKER'!$Y$5:$Y$204,0)),"")</f>
        <v>0</v>
      </c>
      <c r="I27" s="11" t="n">
        <f aca="false">IFERROR(INDEX('⚡ COMMAND TRACKER'!$U$5:$U$204,MATCH(LARGE('⚡ COMMAND TRACKER'!$Y$5:$Y$204,24),'⚡ COMMAND TRACKER'!$Y$5:$Y$204,0)),"")</f>
        <v>0</v>
      </c>
      <c r="J27" s="10" t="n">
        <f aca="false">IFERROR(INDEX('⚡ COMMAND TRACKER'!$X$5:$X$204,MATCH(LARGE('⚡ COMMAND TRACKER'!$Y$5:$Y$204,24),'⚡ COMMAND TRACKER'!$Y$5:$Y$204,0)),"")</f>
        <v>0</v>
      </c>
      <c r="K27" s="14" t="n">
        <f aca="false">IFERROR(INDEX('⚡ COMMAND TRACKER'!$AC$5:$AC$204,MATCH(LARGE('⚡ COMMAND TRACKER'!$Y$5:$Y$204,24),'⚡ COMMAND TRACKER'!$Y$5:$Y$204,0)),"")</f>
        <v>0</v>
      </c>
      <c r="L27" s="16" t="str">
        <f aca="true">IFERROR(IF(K27="","",K27-TODAY()),"")</f>
        <v/>
      </c>
      <c r="M27" s="10" t="n">
        <f aca="false">IFERROR(INDEX('⚡ COMMAND TRACKER'!$AE$5:$AE$204,MATCH(LARGE('⚡ COMMAND TRACKER'!$Y$5:$Y$204,24),'⚡ COMMAND TRACKER'!$Y$5:$Y$204,0)),"")</f>
        <v>0</v>
      </c>
    </row>
    <row r="28" customFormat="false" ht="19.5" hidden="false" customHeight="true" outlineLevel="0" collapsed="false">
      <c r="A28" s="17" t="str">
        <f aca="false">IFERROR(INDEX('⚡ COMMAND TRACKER'!$AA$5:$AA$204,MATCH(LARGE('⚡ COMMAND TRACKER'!$Y$5:$Y$204,25),'⚡ COMMAND TRACKER'!$Y$5:$Y$204,0)),"")</f>
        <v>⏳ WORKING</v>
      </c>
      <c r="B28" s="17" t="n">
        <f aca="false">IFERROR(INDEX('⚡ COMMAND TRACKER'!$A$5:$A$204,MATCH(LARGE('⚡ COMMAND TRACKER'!$Y$5:$Y$204,25),'⚡ COMMAND TRACKER'!$Y$5:$Y$204,0)),"")</f>
        <v>0</v>
      </c>
      <c r="C28" s="17" t="n">
        <f aca="false">IFERROR(INDEX('⚡ COMMAND TRACKER'!$E$5:$E$204,MATCH(LARGE('⚡ COMMAND TRACKER'!$Y$5:$Y$204,25),'⚡ COMMAND TRACKER'!$Y$5:$Y$204,0)),"")</f>
        <v>0</v>
      </c>
      <c r="D28" s="27" t="n">
        <f aca="false">IFERROR(INDEX('⚡ COMMAND TRACKER'!$B$5:$B$204,MATCH(LARGE('⚡ COMMAND TRACKER'!$Y$5:$Y$204,25),'⚡ COMMAND TRACKER'!$Y$5:$Y$204,0)),"")</f>
        <v>0</v>
      </c>
      <c r="E28" s="17" t="n">
        <f aca="false">IFERROR(INDEX('⚡ COMMAND TRACKER'!$H$5:$H$204,MATCH(LARGE('⚡ COMMAND TRACKER'!$Y$5:$Y$204,25),'⚡ COMMAND TRACKER'!$Y$5:$Y$204,0)),"")</f>
        <v>0</v>
      </c>
      <c r="F28" s="28" t="n">
        <f aca="false">IFERROR(LARGE('⚡ COMMAND TRACKER'!$Y$5:$Y$204,25),"")</f>
        <v>0</v>
      </c>
      <c r="G28" s="18" t="str">
        <f aca="false">IFERROR(INDEX('⚡ COMMAND TRACKER'!$Z$5:$Z$204,MATCH(LARGE('⚡ COMMAND TRACKER'!$Y$5:$Y$204,25),'⚡ COMMAND TRACKER'!$Y$5:$Y$204,0)),"")</f>
        <v/>
      </c>
      <c r="H28" s="29" t="n">
        <f aca="false">IFERROR(INDEX('⚡ COMMAND TRACKER'!$T$5:$T$204,MATCH(LARGE('⚡ COMMAND TRACKER'!$Y$5:$Y$204,25),'⚡ COMMAND TRACKER'!$Y$5:$Y$204,0)),"")</f>
        <v>0</v>
      </c>
      <c r="I28" s="18" t="n">
        <f aca="false">IFERROR(INDEX('⚡ COMMAND TRACKER'!$U$5:$U$204,MATCH(LARGE('⚡ COMMAND TRACKER'!$Y$5:$Y$204,25),'⚡ COMMAND TRACKER'!$Y$5:$Y$204,0)),"")</f>
        <v>0</v>
      </c>
      <c r="J28" s="17" t="n">
        <f aca="false">IFERROR(INDEX('⚡ COMMAND TRACKER'!$X$5:$X$204,MATCH(LARGE('⚡ COMMAND TRACKER'!$Y$5:$Y$204,25),'⚡ COMMAND TRACKER'!$Y$5:$Y$204,0)),"")</f>
        <v>0</v>
      </c>
      <c r="K28" s="21" t="n">
        <f aca="false">IFERROR(INDEX('⚡ COMMAND TRACKER'!$AC$5:$AC$204,MATCH(LARGE('⚡ COMMAND TRACKER'!$Y$5:$Y$204,25),'⚡ COMMAND TRACKER'!$Y$5:$Y$204,0)),"")</f>
        <v>0</v>
      </c>
      <c r="L28" s="23" t="str">
        <f aca="true">IFERROR(IF(K28="","",K28-TODAY()),"")</f>
        <v/>
      </c>
      <c r="M28" s="17" t="n">
        <f aca="false">IFERROR(INDEX('⚡ COMMAND TRACKER'!$AE$5:$AE$204,MATCH(LARGE('⚡ COMMAND TRACKER'!$Y$5:$Y$204,25),'⚡ COMMAND TRACKER'!$Y$5:$Y$204,0)),"")</f>
        <v>0</v>
      </c>
    </row>
    <row r="29" customFormat="false" ht="19.5" hidden="false" customHeight="true" outlineLevel="0" collapsed="false">
      <c r="A29" s="10" t="str">
        <f aca="false">IFERROR(INDEX('⚡ COMMAND TRACKER'!$AA$5:$AA$204,MATCH(LARGE('⚡ COMMAND TRACKER'!$Y$5:$Y$204,26),'⚡ COMMAND TRACKER'!$Y$5:$Y$204,0)),"")</f>
        <v>⏳ WORKING</v>
      </c>
      <c r="B29" s="10" t="n">
        <f aca="false">IFERROR(INDEX('⚡ COMMAND TRACKER'!$A$5:$A$204,MATCH(LARGE('⚡ COMMAND TRACKER'!$Y$5:$Y$204,26),'⚡ COMMAND TRACKER'!$Y$5:$Y$204,0)),"")</f>
        <v>0</v>
      </c>
      <c r="C29" s="10" t="n">
        <f aca="false">IFERROR(INDEX('⚡ COMMAND TRACKER'!$E$5:$E$204,MATCH(LARGE('⚡ COMMAND TRACKER'!$Y$5:$Y$204,26),'⚡ COMMAND TRACKER'!$Y$5:$Y$204,0)),"")</f>
        <v>0</v>
      </c>
      <c r="D29" s="30" t="n">
        <f aca="false">IFERROR(INDEX('⚡ COMMAND TRACKER'!$B$5:$B$204,MATCH(LARGE('⚡ COMMAND TRACKER'!$Y$5:$Y$204,26),'⚡ COMMAND TRACKER'!$Y$5:$Y$204,0)),"")</f>
        <v>0</v>
      </c>
      <c r="E29" s="10" t="n">
        <f aca="false">IFERROR(INDEX('⚡ COMMAND TRACKER'!$H$5:$H$204,MATCH(LARGE('⚡ COMMAND TRACKER'!$Y$5:$Y$204,26),'⚡ COMMAND TRACKER'!$Y$5:$Y$204,0)),"")</f>
        <v>0</v>
      </c>
      <c r="F29" s="31" t="n">
        <f aca="false">IFERROR(LARGE('⚡ COMMAND TRACKER'!$Y$5:$Y$204,26),"")</f>
        <v>0</v>
      </c>
      <c r="G29" s="11" t="str">
        <f aca="false">IFERROR(INDEX('⚡ COMMAND TRACKER'!$Z$5:$Z$204,MATCH(LARGE('⚡ COMMAND TRACKER'!$Y$5:$Y$204,26),'⚡ COMMAND TRACKER'!$Y$5:$Y$204,0)),"")</f>
        <v/>
      </c>
      <c r="H29" s="32" t="n">
        <f aca="false">IFERROR(INDEX('⚡ COMMAND TRACKER'!$T$5:$T$204,MATCH(LARGE('⚡ COMMAND TRACKER'!$Y$5:$Y$204,26),'⚡ COMMAND TRACKER'!$Y$5:$Y$204,0)),"")</f>
        <v>0</v>
      </c>
      <c r="I29" s="11" t="n">
        <f aca="false">IFERROR(INDEX('⚡ COMMAND TRACKER'!$U$5:$U$204,MATCH(LARGE('⚡ COMMAND TRACKER'!$Y$5:$Y$204,26),'⚡ COMMAND TRACKER'!$Y$5:$Y$204,0)),"")</f>
        <v>0</v>
      </c>
      <c r="J29" s="10" t="n">
        <f aca="false">IFERROR(INDEX('⚡ COMMAND TRACKER'!$X$5:$X$204,MATCH(LARGE('⚡ COMMAND TRACKER'!$Y$5:$Y$204,26),'⚡ COMMAND TRACKER'!$Y$5:$Y$204,0)),"")</f>
        <v>0</v>
      </c>
      <c r="K29" s="14" t="n">
        <f aca="false">IFERROR(INDEX('⚡ COMMAND TRACKER'!$AC$5:$AC$204,MATCH(LARGE('⚡ COMMAND TRACKER'!$Y$5:$Y$204,26),'⚡ COMMAND TRACKER'!$Y$5:$Y$204,0)),"")</f>
        <v>0</v>
      </c>
      <c r="L29" s="16" t="str">
        <f aca="true">IFERROR(IF(K29="","",K29-TODAY()),"")</f>
        <v/>
      </c>
      <c r="M29" s="10" t="n">
        <f aca="false">IFERROR(INDEX('⚡ COMMAND TRACKER'!$AE$5:$AE$204,MATCH(LARGE('⚡ COMMAND TRACKER'!$Y$5:$Y$204,26),'⚡ COMMAND TRACKER'!$Y$5:$Y$204,0)),"")</f>
        <v>0</v>
      </c>
    </row>
    <row r="30" customFormat="false" ht="19.5" hidden="false" customHeight="true" outlineLevel="0" collapsed="false">
      <c r="A30" s="17" t="str">
        <f aca="false">IFERROR(INDEX('⚡ COMMAND TRACKER'!$AA$5:$AA$204,MATCH(LARGE('⚡ COMMAND TRACKER'!$Y$5:$Y$204,27),'⚡ COMMAND TRACKER'!$Y$5:$Y$204,0)),"")</f>
        <v>⏳ WORKING</v>
      </c>
      <c r="B30" s="17" t="n">
        <f aca="false">IFERROR(INDEX('⚡ COMMAND TRACKER'!$A$5:$A$204,MATCH(LARGE('⚡ COMMAND TRACKER'!$Y$5:$Y$204,27),'⚡ COMMAND TRACKER'!$Y$5:$Y$204,0)),"")</f>
        <v>0</v>
      </c>
      <c r="C30" s="17" t="n">
        <f aca="false">IFERROR(INDEX('⚡ COMMAND TRACKER'!$E$5:$E$204,MATCH(LARGE('⚡ COMMAND TRACKER'!$Y$5:$Y$204,27),'⚡ COMMAND TRACKER'!$Y$5:$Y$204,0)),"")</f>
        <v>0</v>
      </c>
      <c r="D30" s="27" t="n">
        <f aca="false">IFERROR(INDEX('⚡ COMMAND TRACKER'!$B$5:$B$204,MATCH(LARGE('⚡ COMMAND TRACKER'!$Y$5:$Y$204,27),'⚡ COMMAND TRACKER'!$Y$5:$Y$204,0)),"")</f>
        <v>0</v>
      </c>
      <c r="E30" s="17" t="n">
        <f aca="false">IFERROR(INDEX('⚡ COMMAND TRACKER'!$H$5:$H$204,MATCH(LARGE('⚡ COMMAND TRACKER'!$Y$5:$Y$204,27),'⚡ COMMAND TRACKER'!$Y$5:$Y$204,0)),"")</f>
        <v>0</v>
      </c>
      <c r="F30" s="28" t="n">
        <f aca="false">IFERROR(LARGE('⚡ COMMAND TRACKER'!$Y$5:$Y$204,27),"")</f>
        <v>0</v>
      </c>
      <c r="G30" s="18" t="str">
        <f aca="false">IFERROR(INDEX('⚡ COMMAND TRACKER'!$Z$5:$Z$204,MATCH(LARGE('⚡ COMMAND TRACKER'!$Y$5:$Y$204,27),'⚡ COMMAND TRACKER'!$Y$5:$Y$204,0)),"")</f>
        <v/>
      </c>
      <c r="H30" s="29" t="n">
        <f aca="false">IFERROR(INDEX('⚡ COMMAND TRACKER'!$T$5:$T$204,MATCH(LARGE('⚡ COMMAND TRACKER'!$Y$5:$Y$204,27),'⚡ COMMAND TRACKER'!$Y$5:$Y$204,0)),"")</f>
        <v>0</v>
      </c>
      <c r="I30" s="18" t="n">
        <f aca="false">IFERROR(INDEX('⚡ COMMAND TRACKER'!$U$5:$U$204,MATCH(LARGE('⚡ COMMAND TRACKER'!$Y$5:$Y$204,27),'⚡ COMMAND TRACKER'!$Y$5:$Y$204,0)),"")</f>
        <v>0</v>
      </c>
      <c r="J30" s="17" t="n">
        <f aca="false">IFERROR(INDEX('⚡ COMMAND TRACKER'!$X$5:$X$204,MATCH(LARGE('⚡ COMMAND TRACKER'!$Y$5:$Y$204,27),'⚡ COMMAND TRACKER'!$Y$5:$Y$204,0)),"")</f>
        <v>0</v>
      </c>
      <c r="K30" s="21" t="n">
        <f aca="false">IFERROR(INDEX('⚡ COMMAND TRACKER'!$AC$5:$AC$204,MATCH(LARGE('⚡ COMMAND TRACKER'!$Y$5:$Y$204,27),'⚡ COMMAND TRACKER'!$Y$5:$Y$204,0)),"")</f>
        <v>0</v>
      </c>
      <c r="L30" s="23" t="str">
        <f aca="true">IFERROR(IF(K30="","",K30-TODAY()),"")</f>
        <v/>
      </c>
      <c r="M30" s="17" t="n">
        <f aca="false">IFERROR(INDEX('⚡ COMMAND TRACKER'!$AE$5:$AE$204,MATCH(LARGE('⚡ COMMAND TRACKER'!$Y$5:$Y$204,27),'⚡ COMMAND TRACKER'!$Y$5:$Y$204,0)),"")</f>
        <v>0</v>
      </c>
    </row>
    <row r="31" customFormat="false" ht="19.5" hidden="false" customHeight="true" outlineLevel="0" collapsed="false">
      <c r="A31" s="10" t="str">
        <f aca="false">IFERROR(INDEX('⚡ COMMAND TRACKER'!$AA$5:$AA$204,MATCH(LARGE('⚡ COMMAND TRACKER'!$Y$5:$Y$204,28),'⚡ COMMAND TRACKER'!$Y$5:$Y$204,0)),"")</f>
        <v>⏳ WORKING</v>
      </c>
      <c r="B31" s="10" t="n">
        <f aca="false">IFERROR(INDEX('⚡ COMMAND TRACKER'!$A$5:$A$204,MATCH(LARGE('⚡ COMMAND TRACKER'!$Y$5:$Y$204,28),'⚡ COMMAND TRACKER'!$Y$5:$Y$204,0)),"")</f>
        <v>0</v>
      </c>
      <c r="C31" s="10" t="n">
        <f aca="false">IFERROR(INDEX('⚡ COMMAND TRACKER'!$E$5:$E$204,MATCH(LARGE('⚡ COMMAND TRACKER'!$Y$5:$Y$204,28),'⚡ COMMAND TRACKER'!$Y$5:$Y$204,0)),"")</f>
        <v>0</v>
      </c>
      <c r="D31" s="30" t="n">
        <f aca="false">IFERROR(INDEX('⚡ COMMAND TRACKER'!$B$5:$B$204,MATCH(LARGE('⚡ COMMAND TRACKER'!$Y$5:$Y$204,28),'⚡ COMMAND TRACKER'!$Y$5:$Y$204,0)),"")</f>
        <v>0</v>
      </c>
      <c r="E31" s="10" t="n">
        <f aca="false">IFERROR(INDEX('⚡ COMMAND TRACKER'!$H$5:$H$204,MATCH(LARGE('⚡ COMMAND TRACKER'!$Y$5:$Y$204,28),'⚡ COMMAND TRACKER'!$Y$5:$Y$204,0)),"")</f>
        <v>0</v>
      </c>
      <c r="F31" s="31" t="n">
        <f aca="false">IFERROR(LARGE('⚡ COMMAND TRACKER'!$Y$5:$Y$204,28),"")</f>
        <v>0</v>
      </c>
      <c r="G31" s="11" t="str">
        <f aca="false">IFERROR(INDEX('⚡ COMMAND TRACKER'!$Z$5:$Z$204,MATCH(LARGE('⚡ COMMAND TRACKER'!$Y$5:$Y$204,28),'⚡ COMMAND TRACKER'!$Y$5:$Y$204,0)),"")</f>
        <v/>
      </c>
      <c r="H31" s="32" t="n">
        <f aca="false">IFERROR(INDEX('⚡ COMMAND TRACKER'!$T$5:$T$204,MATCH(LARGE('⚡ COMMAND TRACKER'!$Y$5:$Y$204,28),'⚡ COMMAND TRACKER'!$Y$5:$Y$204,0)),"")</f>
        <v>0</v>
      </c>
      <c r="I31" s="11" t="n">
        <f aca="false">IFERROR(INDEX('⚡ COMMAND TRACKER'!$U$5:$U$204,MATCH(LARGE('⚡ COMMAND TRACKER'!$Y$5:$Y$204,28),'⚡ COMMAND TRACKER'!$Y$5:$Y$204,0)),"")</f>
        <v>0</v>
      </c>
      <c r="J31" s="10" t="n">
        <f aca="false">IFERROR(INDEX('⚡ COMMAND TRACKER'!$X$5:$X$204,MATCH(LARGE('⚡ COMMAND TRACKER'!$Y$5:$Y$204,28),'⚡ COMMAND TRACKER'!$Y$5:$Y$204,0)),"")</f>
        <v>0</v>
      </c>
      <c r="K31" s="14" t="n">
        <f aca="false">IFERROR(INDEX('⚡ COMMAND TRACKER'!$AC$5:$AC$204,MATCH(LARGE('⚡ COMMAND TRACKER'!$Y$5:$Y$204,28),'⚡ COMMAND TRACKER'!$Y$5:$Y$204,0)),"")</f>
        <v>0</v>
      </c>
      <c r="L31" s="16" t="str">
        <f aca="true">IFERROR(IF(K31="","",K31-TODAY()),"")</f>
        <v/>
      </c>
      <c r="M31" s="10" t="n">
        <f aca="false">IFERROR(INDEX('⚡ COMMAND TRACKER'!$AE$5:$AE$204,MATCH(LARGE('⚡ COMMAND TRACKER'!$Y$5:$Y$204,28),'⚡ COMMAND TRACKER'!$Y$5:$Y$204,0)),"")</f>
        <v>0</v>
      </c>
    </row>
    <row r="32" customFormat="false" ht="19.5" hidden="false" customHeight="true" outlineLevel="0" collapsed="false">
      <c r="A32" s="17" t="str">
        <f aca="false">IFERROR(INDEX('⚡ COMMAND TRACKER'!$AA$5:$AA$204,MATCH(LARGE('⚡ COMMAND TRACKER'!$Y$5:$Y$204,29),'⚡ COMMAND TRACKER'!$Y$5:$Y$204,0)),"")</f>
        <v>⏳ WORKING</v>
      </c>
      <c r="B32" s="17" t="n">
        <f aca="false">IFERROR(INDEX('⚡ COMMAND TRACKER'!$A$5:$A$204,MATCH(LARGE('⚡ COMMAND TRACKER'!$Y$5:$Y$204,29),'⚡ COMMAND TRACKER'!$Y$5:$Y$204,0)),"")</f>
        <v>0</v>
      </c>
      <c r="C32" s="17" t="n">
        <f aca="false">IFERROR(INDEX('⚡ COMMAND TRACKER'!$E$5:$E$204,MATCH(LARGE('⚡ COMMAND TRACKER'!$Y$5:$Y$204,29),'⚡ COMMAND TRACKER'!$Y$5:$Y$204,0)),"")</f>
        <v>0</v>
      </c>
      <c r="D32" s="27" t="n">
        <f aca="false">IFERROR(INDEX('⚡ COMMAND TRACKER'!$B$5:$B$204,MATCH(LARGE('⚡ COMMAND TRACKER'!$Y$5:$Y$204,29),'⚡ COMMAND TRACKER'!$Y$5:$Y$204,0)),"")</f>
        <v>0</v>
      </c>
      <c r="E32" s="17" t="n">
        <f aca="false">IFERROR(INDEX('⚡ COMMAND TRACKER'!$H$5:$H$204,MATCH(LARGE('⚡ COMMAND TRACKER'!$Y$5:$Y$204,29),'⚡ COMMAND TRACKER'!$Y$5:$Y$204,0)),"")</f>
        <v>0</v>
      </c>
      <c r="F32" s="28" t="n">
        <f aca="false">IFERROR(LARGE('⚡ COMMAND TRACKER'!$Y$5:$Y$204,29),"")</f>
        <v>0</v>
      </c>
      <c r="G32" s="18" t="str">
        <f aca="false">IFERROR(INDEX('⚡ COMMAND TRACKER'!$Z$5:$Z$204,MATCH(LARGE('⚡ COMMAND TRACKER'!$Y$5:$Y$204,29),'⚡ COMMAND TRACKER'!$Y$5:$Y$204,0)),"")</f>
        <v/>
      </c>
      <c r="H32" s="29" t="n">
        <f aca="false">IFERROR(INDEX('⚡ COMMAND TRACKER'!$T$5:$T$204,MATCH(LARGE('⚡ COMMAND TRACKER'!$Y$5:$Y$204,29),'⚡ COMMAND TRACKER'!$Y$5:$Y$204,0)),"")</f>
        <v>0</v>
      </c>
      <c r="I32" s="18" t="n">
        <f aca="false">IFERROR(INDEX('⚡ COMMAND TRACKER'!$U$5:$U$204,MATCH(LARGE('⚡ COMMAND TRACKER'!$Y$5:$Y$204,29),'⚡ COMMAND TRACKER'!$Y$5:$Y$204,0)),"")</f>
        <v>0</v>
      </c>
      <c r="J32" s="17" t="n">
        <f aca="false">IFERROR(INDEX('⚡ COMMAND TRACKER'!$X$5:$X$204,MATCH(LARGE('⚡ COMMAND TRACKER'!$Y$5:$Y$204,29),'⚡ COMMAND TRACKER'!$Y$5:$Y$204,0)),"")</f>
        <v>0</v>
      </c>
      <c r="K32" s="21" t="n">
        <f aca="false">IFERROR(INDEX('⚡ COMMAND TRACKER'!$AC$5:$AC$204,MATCH(LARGE('⚡ COMMAND TRACKER'!$Y$5:$Y$204,29),'⚡ COMMAND TRACKER'!$Y$5:$Y$204,0)),"")</f>
        <v>0</v>
      </c>
      <c r="L32" s="23" t="str">
        <f aca="true">IFERROR(IF(K32="","",K32-TODAY()),"")</f>
        <v/>
      </c>
      <c r="M32" s="17" t="n">
        <f aca="false">IFERROR(INDEX('⚡ COMMAND TRACKER'!$AE$5:$AE$204,MATCH(LARGE('⚡ COMMAND TRACKER'!$Y$5:$Y$204,29),'⚡ COMMAND TRACKER'!$Y$5:$Y$204,0)),"")</f>
        <v>0</v>
      </c>
    </row>
    <row r="33" customFormat="false" ht="19.5" hidden="false" customHeight="true" outlineLevel="0" collapsed="false">
      <c r="A33" s="10" t="str">
        <f aca="false">IFERROR(INDEX('⚡ COMMAND TRACKER'!$AA$5:$AA$204,MATCH(LARGE('⚡ COMMAND TRACKER'!$Y$5:$Y$204,30),'⚡ COMMAND TRACKER'!$Y$5:$Y$204,0)),"")</f>
        <v>⏳ WORKING</v>
      </c>
      <c r="B33" s="10" t="n">
        <f aca="false">IFERROR(INDEX('⚡ COMMAND TRACKER'!$A$5:$A$204,MATCH(LARGE('⚡ COMMAND TRACKER'!$Y$5:$Y$204,30),'⚡ COMMAND TRACKER'!$Y$5:$Y$204,0)),"")</f>
        <v>0</v>
      </c>
      <c r="C33" s="10" t="n">
        <f aca="false">IFERROR(INDEX('⚡ COMMAND TRACKER'!$E$5:$E$204,MATCH(LARGE('⚡ COMMAND TRACKER'!$Y$5:$Y$204,30),'⚡ COMMAND TRACKER'!$Y$5:$Y$204,0)),"")</f>
        <v>0</v>
      </c>
      <c r="D33" s="30" t="n">
        <f aca="false">IFERROR(INDEX('⚡ COMMAND TRACKER'!$B$5:$B$204,MATCH(LARGE('⚡ COMMAND TRACKER'!$Y$5:$Y$204,30),'⚡ COMMAND TRACKER'!$Y$5:$Y$204,0)),"")</f>
        <v>0</v>
      </c>
      <c r="E33" s="10" t="n">
        <f aca="false">IFERROR(INDEX('⚡ COMMAND TRACKER'!$H$5:$H$204,MATCH(LARGE('⚡ COMMAND TRACKER'!$Y$5:$Y$204,30),'⚡ COMMAND TRACKER'!$Y$5:$Y$204,0)),"")</f>
        <v>0</v>
      </c>
      <c r="F33" s="31" t="n">
        <f aca="false">IFERROR(LARGE('⚡ COMMAND TRACKER'!$Y$5:$Y$204,30),"")</f>
        <v>0</v>
      </c>
      <c r="G33" s="11" t="str">
        <f aca="false">IFERROR(INDEX('⚡ COMMAND TRACKER'!$Z$5:$Z$204,MATCH(LARGE('⚡ COMMAND TRACKER'!$Y$5:$Y$204,30),'⚡ COMMAND TRACKER'!$Y$5:$Y$204,0)),"")</f>
        <v/>
      </c>
      <c r="H33" s="32" t="n">
        <f aca="false">IFERROR(INDEX('⚡ COMMAND TRACKER'!$T$5:$T$204,MATCH(LARGE('⚡ COMMAND TRACKER'!$Y$5:$Y$204,30),'⚡ COMMAND TRACKER'!$Y$5:$Y$204,0)),"")</f>
        <v>0</v>
      </c>
      <c r="I33" s="11" t="n">
        <f aca="false">IFERROR(INDEX('⚡ COMMAND TRACKER'!$U$5:$U$204,MATCH(LARGE('⚡ COMMAND TRACKER'!$Y$5:$Y$204,30),'⚡ COMMAND TRACKER'!$Y$5:$Y$204,0)),"")</f>
        <v>0</v>
      </c>
      <c r="J33" s="10" t="n">
        <f aca="false">IFERROR(INDEX('⚡ COMMAND TRACKER'!$X$5:$X$204,MATCH(LARGE('⚡ COMMAND TRACKER'!$Y$5:$Y$204,30),'⚡ COMMAND TRACKER'!$Y$5:$Y$204,0)),"")</f>
        <v>0</v>
      </c>
      <c r="K33" s="14" t="n">
        <f aca="false">IFERROR(INDEX('⚡ COMMAND TRACKER'!$AC$5:$AC$204,MATCH(LARGE('⚡ COMMAND TRACKER'!$Y$5:$Y$204,30),'⚡ COMMAND TRACKER'!$Y$5:$Y$204,0)),"")</f>
        <v>0</v>
      </c>
      <c r="L33" s="16" t="str">
        <f aca="true">IFERROR(IF(K33="","",K33-TODAY()),"")</f>
        <v/>
      </c>
      <c r="M33" s="10" t="n">
        <f aca="false">IFERROR(INDEX('⚡ COMMAND TRACKER'!$AE$5:$AE$204,MATCH(LARGE('⚡ COMMAND TRACKER'!$Y$5:$Y$204,30),'⚡ COMMAND TRACKER'!$Y$5:$Y$204,0)),"")</f>
        <v>0</v>
      </c>
    </row>
    <row r="34" customFormat="false" ht="19.5" hidden="false" customHeight="true" outlineLevel="0" collapsed="false">
      <c r="A34" s="17" t="str">
        <f aca="false">IFERROR(INDEX('⚡ COMMAND TRACKER'!$AA$5:$AA$204,MATCH(LARGE('⚡ COMMAND TRACKER'!$Y$5:$Y$204,31),'⚡ COMMAND TRACKER'!$Y$5:$Y$204,0)),"")</f>
        <v>⏳ WORKING</v>
      </c>
      <c r="B34" s="17" t="n">
        <f aca="false">IFERROR(INDEX('⚡ COMMAND TRACKER'!$A$5:$A$204,MATCH(LARGE('⚡ COMMAND TRACKER'!$Y$5:$Y$204,31),'⚡ COMMAND TRACKER'!$Y$5:$Y$204,0)),"")</f>
        <v>0</v>
      </c>
      <c r="C34" s="17" t="n">
        <f aca="false">IFERROR(INDEX('⚡ COMMAND TRACKER'!$E$5:$E$204,MATCH(LARGE('⚡ COMMAND TRACKER'!$Y$5:$Y$204,31),'⚡ COMMAND TRACKER'!$Y$5:$Y$204,0)),"")</f>
        <v>0</v>
      </c>
      <c r="D34" s="27" t="n">
        <f aca="false">IFERROR(INDEX('⚡ COMMAND TRACKER'!$B$5:$B$204,MATCH(LARGE('⚡ COMMAND TRACKER'!$Y$5:$Y$204,31),'⚡ COMMAND TRACKER'!$Y$5:$Y$204,0)),"")</f>
        <v>0</v>
      </c>
      <c r="E34" s="17" t="n">
        <f aca="false">IFERROR(INDEX('⚡ COMMAND TRACKER'!$H$5:$H$204,MATCH(LARGE('⚡ COMMAND TRACKER'!$Y$5:$Y$204,31),'⚡ COMMAND TRACKER'!$Y$5:$Y$204,0)),"")</f>
        <v>0</v>
      </c>
      <c r="F34" s="28" t="n">
        <f aca="false">IFERROR(LARGE('⚡ COMMAND TRACKER'!$Y$5:$Y$204,31),"")</f>
        <v>0</v>
      </c>
      <c r="G34" s="18" t="str">
        <f aca="false">IFERROR(INDEX('⚡ COMMAND TRACKER'!$Z$5:$Z$204,MATCH(LARGE('⚡ COMMAND TRACKER'!$Y$5:$Y$204,31),'⚡ COMMAND TRACKER'!$Y$5:$Y$204,0)),"")</f>
        <v/>
      </c>
      <c r="H34" s="29" t="n">
        <f aca="false">IFERROR(INDEX('⚡ COMMAND TRACKER'!$T$5:$T$204,MATCH(LARGE('⚡ COMMAND TRACKER'!$Y$5:$Y$204,31),'⚡ COMMAND TRACKER'!$Y$5:$Y$204,0)),"")</f>
        <v>0</v>
      </c>
      <c r="I34" s="18" t="n">
        <f aca="false">IFERROR(INDEX('⚡ COMMAND TRACKER'!$U$5:$U$204,MATCH(LARGE('⚡ COMMAND TRACKER'!$Y$5:$Y$204,31),'⚡ COMMAND TRACKER'!$Y$5:$Y$204,0)),"")</f>
        <v>0</v>
      </c>
      <c r="J34" s="17" t="n">
        <f aca="false">IFERROR(INDEX('⚡ COMMAND TRACKER'!$X$5:$X$204,MATCH(LARGE('⚡ COMMAND TRACKER'!$Y$5:$Y$204,31),'⚡ COMMAND TRACKER'!$Y$5:$Y$204,0)),"")</f>
        <v>0</v>
      </c>
      <c r="K34" s="21" t="n">
        <f aca="false">IFERROR(INDEX('⚡ COMMAND TRACKER'!$AC$5:$AC$204,MATCH(LARGE('⚡ COMMAND TRACKER'!$Y$5:$Y$204,31),'⚡ COMMAND TRACKER'!$Y$5:$Y$204,0)),"")</f>
        <v>0</v>
      </c>
      <c r="L34" s="23" t="str">
        <f aca="true">IFERROR(IF(K34="","",K34-TODAY()),"")</f>
        <v/>
      </c>
      <c r="M34" s="17" t="n">
        <f aca="false">IFERROR(INDEX('⚡ COMMAND TRACKER'!$AE$5:$AE$204,MATCH(LARGE('⚡ COMMAND TRACKER'!$Y$5:$Y$204,31),'⚡ COMMAND TRACKER'!$Y$5:$Y$204,0)),"")</f>
        <v>0</v>
      </c>
    </row>
    <row r="35" customFormat="false" ht="19.5" hidden="false" customHeight="true" outlineLevel="0" collapsed="false">
      <c r="A35" s="10" t="str">
        <f aca="false">IFERROR(INDEX('⚡ COMMAND TRACKER'!$AA$5:$AA$204,MATCH(LARGE('⚡ COMMAND TRACKER'!$Y$5:$Y$204,32),'⚡ COMMAND TRACKER'!$Y$5:$Y$204,0)),"")</f>
        <v>⏳ WORKING</v>
      </c>
      <c r="B35" s="10" t="n">
        <f aca="false">IFERROR(INDEX('⚡ COMMAND TRACKER'!$A$5:$A$204,MATCH(LARGE('⚡ COMMAND TRACKER'!$Y$5:$Y$204,32),'⚡ COMMAND TRACKER'!$Y$5:$Y$204,0)),"")</f>
        <v>0</v>
      </c>
      <c r="C35" s="10" t="n">
        <f aca="false">IFERROR(INDEX('⚡ COMMAND TRACKER'!$E$5:$E$204,MATCH(LARGE('⚡ COMMAND TRACKER'!$Y$5:$Y$204,32),'⚡ COMMAND TRACKER'!$Y$5:$Y$204,0)),"")</f>
        <v>0</v>
      </c>
      <c r="D35" s="30" t="n">
        <f aca="false">IFERROR(INDEX('⚡ COMMAND TRACKER'!$B$5:$B$204,MATCH(LARGE('⚡ COMMAND TRACKER'!$Y$5:$Y$204,32),'⚡ COMMAND TRACKER'!$Y$5:$Y$204,0)),"")</f>
        <v>0</v>
      </c>
      <c r="E35" s="10" t="n">
        <f aca="false">IFERROR(INDEX('⚡ COMMAND TRACKER'!$H$5:$H$204,MATCH(LARGE('⚡ COMMAND TRACKER'!$Y$5:$Y$204,32),'⚡ COMMAND TRACKER'!$Y$5:$Y$204,0)),"")</f>
        <v>0</v>
      </c>
      <c r="F35" s="31" t="n">
        <f aca="false">IFERROR(LARGE('⚡ COMMAND TRACKER'!$Y$5:$Y$204,32),"")</f>
        <v>0</v>
      </c>
      <c r="G35" s="11" t="str">
        <f aca="false">IFERROR(INDEX('⚡ COMMAND TRACKER'!$Z$5:$Z$204,MATCH(LARGE('⚡ COMMAND TRACKER'!$Y$5:$Y$204,32),'⚡ COMMAND TRACKER'!$Y$5:$Y$204,0)),"")</f>
        <v/>
      </c>
      <c r="H35" s="32" t="n">
        <f aca="false">IFERROR(INDEX('⚡ COMMAND TRACKER'!$T$5:$T$204,MATCH(LARGE('⚡ COMMAND TRACKER'!$Y$5:$Y$204,32),'⚡ COMMAND TRACKER'!$Y$5:$Y$204,0)),"")</f>
        <v>0</v>
      </c>
      <c r="I35" s="11" t="n">
        <f aca="false">IFERROR(INDEX('⚡ COMMAND TRACKER'!$U$5:$U$204,MATCH(LARGE('⚡ COMMAND TRACKER'!$Y$5:$Y$204,32),'⚡ COMMAND TRACKER'!$Y$5:$Y$204,0)),"")</f>
        <v>0</v>
      </c>
      <c r="J35" s="10" t="n">
        <f aca="false">IFERROR(INDEX('⚡ COMMAND TRACKER'!$X$5:$X$204,MATCH(LARGE('⚡ COMMAND TRACKER'!$Y$5:$Y$204,32),'⚡ COMMAND TRACKER'!$Y$5:$Y$204,0)),"")</f>
        <v>0</v>
      </c>
      <c r="K35" s="14" t="n">
        <f aca="false">IFERROR(INDEX('⚡ COMMAND TRACKER'!$AC$5:$AC$204,MATCH(LARGE('⚡ COMMAND TRACKER'!$Y$5:$Y$204,32),'⚡ COMMAND TRACKER'!$Y$5:$Y$204,0)),"")</f>
        <v>0</v>
      </c>
      <c r="L35" s="16" t="str">
        <f aca="true">IFERROR(IF(K35="","",K35-TODAY()),"")</f>
        <v/>
      </c>
      <c r="M35" s="10" t="n">
        <f aca="false">IFERROR(INDEX('⚡ COMMAND TRACKER'!$AE$5:$AE$204,MATCH(LARGE('⚡ COMMAND TRACKER'!$Y$5:$Y$204,32),'⚡ COMMAND TRACKER'!$Y$5:$Y$204,0)),"")</f>
        <v>0</v>
      </c>
    </row>
    <row r="36" customFormat="false" ht="19.5" hidden="false" customHeight="true" outlineLevel="0" collapsed="false">
      <c r="A36" s="17" t="str">
        <f aca="false">IFERROR(INDEX('⚡ COMMAND TRACKER'!$AA$5:$AA$204,MATCH(LARGE('⚡ COMMAND TRACKER'!$Y$5:$Y$204,33),'⚡ COMMAND TRACKER'!$Y$5:$Y$204,0)),"")</f>
        <v>⏳ WORKING</v>
      </c>
      <c r="B36" s="17" t="n">
        <f aca="false">IFERROR(INDEX('⚡ COMMAND TRACKER'!$A$5:$A$204,MATCH(LARGE('⚡ COMMAND TRACKER'!$Y$5:$Y$204,33),'⚡ COMMAND TRACKER'!$Y$5:$Y$204,0)),"")</f>
        <v>0</v>
      </c>
      <c r="C36" s="17" t="n">
        <f aca="false">IFERROR(INDEX('⚡ COMMAND TRACKER'!$E$5:$E$204,MATCH(LARGE('⚡ COMMAND TRACKER'!$Y$5:$Y$204,33),'⚡ COMMAND TRACKER'!$Y$5:$Y$204,0)),"")</f>
        <v>0</v>
      </c>
      <c r="D36" s="27" t="n">
        <f aca="false">IFERROR(INDEX('⚡ COMMAND TRACKER'!$B$5:$B$204,MATCH(LARGE('⚡ COMMAND TRACKER'!$Y$5:$Y$204,33),'⚡ COMMAND TRACKER'!$Y$5:$Y$204,0)),"")</f>
        <v>0</v>
      </c>
      <c r="E36" s="17" t="n">
        <f aca="false">IFERROR(INDEX('⚡ COMMAND TRACKER'!$H$5:$H$204,MATCH(LARGE('⚡ COMMAND TRACKER'!$Y$5:$Y$204,33),'⚡ COMMAND TRACKER'!$Y$5:$Y$204,0)),"")</f>
        <v>0</v>
      </c>
      <c r="F36" s="28" t="n">
        <f aca="false">IFERROR(LARGE('⚡ COMMAND TRACKER'!$Y$5:$Y$204,33),"")</f>
        <v>0</v>
      </c>
      <c r="G36" s="18" t="str">
        <f aca="false">IFERROR(INDEX('⚡ COMMAND TRACKER'!$Z$5:$Z$204,MATCH(LARGE('⚡ COMMAND TRACKER'!$Y$5:$Y$204,33),'⚡ COMMAND TRACKER'!$Y$5:$Y$204,0)),"")</f>
        <v/>
      </c>
      <c r="H36" s="29" t="n">
        <f aca="false">IFERROR(INDEX('⚡ COMMAND TRACKER'!$T$5:$T$204,MATCH(LARGE('⚡ COMMAND TRACKER'!$Y$5:$Y$204,33),'⚡ COMMAND TRACKER'!$Y$5:$Y$204,0)),"")</f>
        <v>0</v>
      </c>
      <c r="I36" s="18" t="n">
        <f aca="false">IFERROR(INDEX('⚡ COMMAND TRACKER'!$U$5:$U$204,MATCH(LARGE('⚡ COMMAND TRACKER'!$Y$5:$Y$204,33),'⚡ COMMAND TRACKER'!$Y$5:$Y$204,0)),"")</f>
        <v>0</v>
      </c>
      <c r="J36" s="17" t="n">
        <f aca="false">IFERROR(INDEX('⚡ COMMAND TRACKER'!$X$5:$X$204,MATCH(LARGE('⚡ COMMAND TRACKER'!$Y$5:$Y$204,33),'⚡ COMMAND TRACKER'!$Y$5:$Y$204,0)),"")</f>
        <v>0</v>
      </c>
      <c r="K36" s="21" t="n">
        <f aca="false">IFERROR(INDEX('⚡ COMMAND TRACKER'!$AC$5:$AC$204,MATCH(LARGE('⚡ COMMAND TRACKER'!$Y$5:$Y$204,33),'⚡ COMMAND TRACKER'!$Y$5:$Y$204,0)),"")</f>
        <v>0</v>
      </c>
      <c r="L36" s="23" t="str">
        <f aca="true">IFERROR(IF(K36="","",K36-TODAY()),"")</f>
        <v/>
      </c>
      <c r="M36" s="17" t="n">
        <f aca="false">IFERROR(INDEX('⚡ COMMAND TRACKER'!$AE$5:$AE$204,MATCH(LARGE('⚡ COMMAND TRACKER'!$Y$5:$Y$204,33),'⚡ COMMAND TRACKER'!$Y$5:$Y$204,0)),"")</f>
        <v>0</v>
      </c>
    </row>
    <row r="37" customFormat="false" ht="19.5" hidden="false" customHeight="true" outlineLevel="0" collapsed="false">
      <c r="A37" s="10" t="str">
        <f aca="false">IFERROR(INDEX('⚡ COMMAND TRACKER'!$AA$5:$AA$204,MATCH(LARGE('⚡ COMMAND TRACKER'!$Y$5:$Y$204,34),'⚡ COMMAND TRACKER'!$Y$5:$Y$204,0)),"")</f>
        <v>⏳ WORKING</v>
      </c>
      <c r="B37" s="10" t="n">
        <f aca="false">IFERROR(INDEX('⚡ COMMAND TRACKER'!$A$5:$A$204,MATCH(LARGE('⚡ COMMAND TRACKER'!$Y$5:$Y$204,34),'⚡ COMMAND TRACKER'!$Y$5:$Y$204,0)),"")</f>
        <v>0</v>
      </c>
      <c r="C37" s="10" t="n">
        <f aca="false">IFERROR(INDEX('⚡ COMMAND TRACKER'!$E$5:$E$204,MATCH(LARGE('⚡ COMMAND TRACKER'!$Y$5:$Y$204,34),'⚡ COMMAND TRACKER'!$Y$5:$Y$204,0)),"")</f>
        <v>0</v>
      </c>
      <c r="D37" s="30" t="n">
        <f aca="false">IFERROR(INDEX('⚡ COMMAND TRACKER'!$B$5:$B$204,MATCH(LARGE('⚡ COMMAND TRACKER'!$Y$5:$Y$204,34),'⚡ COMMAND TRACKER'!$Y$5:$Y$204,0)),"")</f>
        <v>0</v>
      </c>
      <c r="E37" s="10" t="n">
        <f aca="false">IFERROR(INDEX('⚡ COMMAND TRACKER'!$H$5:$H$204,MATCH(LARGE('⚡ COMMAND TRACKER'!$Y$5:$Y$204,34),'⚡ COMMAND TRACKER'!$Y$5:$Y$204,0)),"")</f>
        <v>0</v>
      </c>
      <c r="F37" s="31" t="n">
        <f aca="false">IFERROR(LARGE('⚡ COMMAND TRACKER'!$Y$5:$Y$204,34),"")</f>
        <v>0</v>
      </c>
      <c r="G37" s="11" t="str">
        <f aca="false">IFERROR(INDEX('⚡ COMMAND TRACKER'!$Z$5:$Z$204,MATCH(LARGE('⚡ COMMAND TRACKER'!$Y$5:$Y$204,34),'⚡ COMMAND TRACKER'!$Y$5:$Y$204,0)),"")</f>
        <v/>
      </c>
      <c r="H37" s="32" t="n">
        <f aca="false">IFERROR(INDEX('⚡ COMMAND TRACKER'!$T$5:$T$204,MATCH(LARGE('⚡ COMMAND TRACKER'!$Y$5:$Y$204,34),'⚡ COMMAND TRACKER'!$Y$5:$Y$204,0)),"")</f>
        <v>0</v>
      </c>
      <c r="I37" s="11" t="n">
        <f aca="false">IFERROR(INDEX('⚡ COMMAND TRACKER'!$U$5:$U$204,MATCH(LARGE('⚡ COMMAND TRACKER'!$Y$5:$Y$204,34),'⚡ COMMAND TRACKER'!$Y$5:$Y$204,0)),"")</f>
        <v>0</v>
      </c>
      <c r="J37" s="10" t="n">
        <f aca="false">IFERROR(INDEX('⚡ COMMAND TRACKER'!$X$5:$X$204,MATCH(LARGE('⚡ COMMAND TRACKER'!$Y$5:$Y$204,34),'⚡ COMMAND TRACKER'!$Y$5:$Y$204,0)),"")</f>
        <v>0</v>
      </c>
      <c r="K37" s="14" t="n">
        <f aca="false">IFERROR(INDEX('⚡ COMMAND TRACKER'!$AC$5:$AC$204,MATCH(LARGE('⚡ COMMAND TRACKER'!$Y$5:$Y$204,34),'⚡ COMMAND TRACKER'!$Y$5:$Y$204,0)),"")</f>
        <v>0</v>
      </c>
      <c r="L37" s="16" t="str">
        <f aca="true">IFERROR(IF(K37="","",K37-TODAY()),"")</f>
        <v/>
      </c>
      <c r="M37" s="10" t="n">
        <f aca="false">IFERROR(INDEX('⚡ COMMAND TRACKER'!$AE$5:$AE$204,MATCH(LARGE('⚡ COMMAND TRACKER'!$Y$5:$Y$204,34),'⚡ COMMAND TRACKER'!$Y$5:$Y$204,0)),"")</f>
        <v>0</v>
      </c>
    </row>
    <row r="38" customFormat="false" ht="19.5" hidden="false" customHeight="true" outlineLevel="0" collapsed="false">
      <c r="A38" s="17" t="str">
        <f aca="false">IFERROR(INDEX('⚡ COMMAND TRACKER'!$AA$5:$AA$204,MATCH(LARGE('⚡ COMMAND TRACKER'!$Y$5:$Y$204,35),'⚡ COMMAND TRACKER'!$Y$5:$Y$204,0)),"")</f>
        <v>⏳ WORKING</v>
      </c>
      <c r="B38" s="17" t="n">
        <f aca="false">IFERROR(INDEX('⚡ COMMAND TRACKER'!$A$5:$A$204,MATCH(LARGE('⚡ COMMAND TRACKER'!$Y$5:$Y$204,35),'⚡ COMMAND TRACKER'!$Y$5:$Y$204,0)),"")</f>
        <v>0</v>
      </c>
      <c r="C38" s="17" t="n">
        <f aca="false">IFERROR(INDEX('⚡ COMMAND TRACKER'!$E$5:$E$204,MATCH(LARGE('⚡ COMMAND TRACKER'!$Y$5:$Y$204,35),'⚡ COMMAND TRACKER'!$Y$5:$Y$204,0)),"")</f>
        <v>0</v>
      </c>
      <c r="D38" s="27" t="n">
        <f aca="false">IFERROR(INDEX('⚡ COMMAND TRACKER'!$B$5:$B$204,MATCH(LARGE('⚡ COMMAND TRACKER'!$Y$5:$Y$204,35),'⚡ COMMAND TRACKER'!$Y$5:$Y$204,0)),"")</f>
        <v>0</v>
      </c>
      <c r="E38" s="17" t="n">
        <f aca="false">IFERROR(INDEX('⚡ COMMAND TRACKER'!$H$5:$H$204,MATCH(LARGE('⚡ COMMAND TRACKER'!$Y$5:$Y$204,35),'⚡ COMMAND TRACKER'!$Y$5:$Y$204,0)),"")</f>
        <v>0</v>
      </c>
      <c r="F38" s="28" t="n">
        <f aca="false">IFERROR(LARGE('⚡ COMMAND TRACKER'!$Y$5:$Y$204,35),"")</f>
        <v>0</v>
      </c>
      <c r="G38" s="18" t="str">
        <f aca="false">IFERROR(INDEX('⚡ COMMAND TRACKER'!$Z$5:$Z$204,MATCH(LARGE('⚡ COMMAND TRACKER'!$Y$5:$Y$204,35),'⚡ COMMAND TRACKER'!$Y$5:$Y$204,0)),"")</f>
        <v/>
      </c>
      <c r="H38" s="29" t="n">
        <f aca="false">IFERROR(INDEX('⚡ COMMAND TRACKER'!$T$5:$T$204,MATCH(LARGE('⚡ COMMAND TRACKER'!$Y$5:$Y$204,35),'⚡ COMMAND TRACKER'!$Y$5:$Y$204,0)),"")</f>
        <v>0</v>
      </c>
      <c r="I38" s="18" t="n">
        <f aca="false">IFERROR(INDEX('⚡ COMMAND TRACKER'!$U$5:$U$204,MATCH(LARGE('⚡ COMMAND TRACKER'!$Y$5:$Y$204,35),'⚡ COMMAND TRACKER'!$Y$5:$Y$204,0)),"")</f>
        <v>0</v>
      </c>
      <c r="J38" s="17" t="n">
        <f aca="false">IFERROR(INDEX('⚡ COMMAND TRACKER'!$X$5:$X$204,MATCH(LARGE('⚡ COMMAND TRACKER'!$Y$5:$Y$204,35),'⚡ COMMAND TRACKER'!$Y$5:$Y$204,0)),"")</f>
        <v>0</v>
      </c>
      <c r="K38" s="21" t="n">
        <f aca="false">IFERROR(INDEX('⚡ COMMAND TRACKER'!$AC$5:$AC$204,MATCH(LARGE('⚡ COMMAND TRACKER'!$Y$5:$Y$204,35),'⚡ COMMAND TRACKER'!$Y$5:$Y$204,0)),"")</f>
        <v>0</v>
      </c>
      <c r="L38" s="23" t="str">
        <f aca="true">IFERROR(IF(K38="","",K38-TODAY()),"")</f>
        <v/>
      </c>
      <c r="M38" s="17" t="n">
        <f aca="false">IFERROR(INDEX('⚡ COMMAND TRACKER'!$AE$5:$AE$204,MATCH(LARGE('⚡ COMMAND TRACKER'!$Y$5:$Y$204,35),'⚡ COMMAND TRACKER'!$Y$5:$Y$204,0)),"")</f>
        <v>0</v>
      </c>
    </row>
    <row r="39" customFormat="false" ht="19.5" hidden="false" customHeight="true" outlineLevel="0" collapsed="false">
      <c r="A39" s="10" t="str">
        <f aca="false">IFERROR(INDEX('⚡ COMMAND TRACKER'!$AA$5:$AA$204,MATCH(LARGE('⚡ COMMAND TRACKER'!$Y$5:$Y$204,36),'⚡ COMMAND TRACKER'!$Y$5:$Y$204,0)),"")</f>
        <v>⏳ WORKING</v>
      </c>
      <c r="B39" s="10" t="n">
        <f aca="false">IFERROR(INDEX('⚡ COMMAND TRACKER'!$A$5:$A$204,MATCH(LARGE('⚡ COMMAND TRACKER'!$Y$5:$Y$204,36),'⚡ COMMAND TRACKER'!$Y$5:$Y$204,0)),"")</f>
        <v>0</v>
      </c>
      <c r="C39" s="10" t="n">
        <f aca="false">IFERROR(INDEX('⚡ COMMAND TRACKER'!$E$5:$E$204,MATCH(LARGE('⚡ COMMAND TRACKER'!$Y$5:$Y$204,36),'⚡ COMMAND TRACKER'!$Y$5:$Y$204,0)),"")</f>
        <v>0</v>
      </c>
      <c r="D39" s="30" t="n">
        <f aca="false">IFERROR(INDEX('⚡ COMMAND TRACKER'!$B$5:$B$204,MATCH(LARGE('⚡ COMMAND TRACKER'!$Y$5:$Y$204,36),'⚡ COMMAND TRACKER'!$Y$5:$Y$204,0)),"")</f>
        <v>0</v>
      </c>
      <c r="E39" s="10" t="n">
        <f aca="false">IFERROR(INDEX('⚡ COMMAND TRACKER'!$H$5:$H$204,MATCH(LARGE('⚡ COMMAND TRACKER'!$Y$5:$Y$204,36),'⚡ COMMAND TRACKER'!$Y$5:$Y$204,0)),"")</f>
        <v>0</v>
      </c>
      <c r="F39" s="31" t="n">
        <f aca="false">IFERROR(LARGE('⚡ COMMAND TRACKER'!$Y$5:$Y$204,36),"")</f>
        <v>0</v>
      </c>
      <c r="G39" s="11" t="str">
        <f aca="false">IFERROR(INDEX('⚡ COMMAND TRACKER'!$Z$5:$Z$204,MATCH(LARGE('⚡ COMMAND TRACKER'!$Y$5:$Y$204,36),'⚡ COMMAND TRACKER'!$Y$5:$Y$204,0)),"")</f>
        <v/>
      </c>
      <c r="H39" s="32" t="n">
        <f aca="false">IFERROR(INDEX('⚡ COMMAND TRACKER'!$T$5:$T$204,MATCH(LARGE('⚡ COMMAND TRACKER'!$Y$5:$Y$204,36),'⚡ COMMAND TRACKER'!$Y$5:$Y$204,0)),"")</f>
        <v>0</v>
      </c>
      <c r="I39" s="11" t="n">
        <f aca="false">IFERROR(INDEX('⚡ COMMAND TRACKER'!$U$5:$U$204,MATCH(LARGE('⚡ COMMAND TRACKER'!$Y$5:$Y$204,36),'⚡ COMMAND TRACKER'!$Y$5:$Y$204,0)),"")</f>
        <v>0</v>
      </c>
      <c r="J39" s="10" t="n">
        <f aca="false">IFERROR(INDEX('⚡ COMMAND TRACKER'!$X$5:$X$204,MATCH(LARGE('⚡ COMMAND TRACKER'!$Y$5:$Y$204,36),'⚡ COMMAND TRACKER'!$Y$5:$Y$204,0)),"")</f>
        <v>0</v>
      </c>
      <c r="K39" s="14" t="n">
        <f aca="false">IFERROR(INDEX('⚡ COMMAND TRACKER'!$AC$5:$AC$204,MATCH(LARGE('⚡ COMMAND TRACKER'!$Y$5:$Y$204,36),'⚡ COMMAND TRACKER'!$Y$5:$Y$204,0)),"")</f>
        <v>0</v>
      </c>
      <c r="L39" s="16" t="str">
        <f aca="true">IFERROR(IF(K39="","",K39-TODAY()),"")</f>
        <v/>
      </c>
      <c r="M39" s="10" t="n">
        <f aca="false">IFERROR(INDEX('⚡ COMMAND TRACKER'!$AE$5:$AE$204,MATCH(LARGE('⚡ COMMAND TRACKER'!$Y$5:$Y$204,36),'⚡ COMMAND TRACKER'!$Y$5:$Y$204,0)),"")</f>
        <v>0</v>
      </c>
    </row>
    <row r="40" customFormat="false" ht="19.5" hidden="false" customHeight="true" outlineLevel="0" collapsed="false">
      <c r="A40" s="17" t="str">
        <f aca="false">IFERROR(INDEX('⚡ COMMAND TRACKER'!$AA$5:$AA$204,MATCH(LARGE('⚡ COMMAND TRACKER'!$Y$5:$Y$204,37),'⚡ COMMAND TRACKER'!$Y$5:$Y$204,0)),"")</f>
        <v>⏳ WORKING</v>
      </c>
      <c r="B40" s="17" t="n">
        <f aca="false">IFERROR(INDEX('⚡ COMMAND TRACKER'!$A$5:$A$204,MATCH(LARGE('⚡ COMMAND TRACKER'!$Y$5:$Y$204,37),'⚡ COMMAND TRACKER'!$Y$5:$Y$204,0)),"")</f>
        <v>0</v>
      </c>
      <c r="C40" s="17" t="n">
        <f aca="false">IFERROR(INDEX('⚡ COMMAND TRACKER'!$E$5:$E$204,MATCH(LARGE('⚡ COMMAND TRACKER'!$Y$5:$Y$204,37),'⚡ COMMAND TRACKER'!$Y$5:$Y$204,0)),"")</f>
        <v>0</v>
      </c>
      <c r="D40" s="27" t="n">
        <f aca="false">IFERROR(INDEX('⚡ COMMAND TRACKER'!$B$5:$B$204,MATCH(LARGE('⚡ COMMAND TRACKER'!$Y$5:$Y$204,37),'⚡ COMMAND TRACKER'!$Y$5:$Y$204,0)),"")</f>
        <v>0</v>
      </c>
      <c r="E40" s="17" t="n">
        <f aca="false">IFERROR(INDEX('⚡ COMMAND TRACKER'!$H$5:$H$204,MATCH(LARGE('⚡ COMMAND TRACKER'!$Y$5:$Y$204,37),'⚡ COMMAND TRACKER'!$Y$5:$Y$204,0)),"")</f>
        <v>0</v>
      </c>
      <c r="F40" s="28" t="n">
        <f aca="false">IFERROR(LARGE('⚡ COMMAND TRACKER'!$Y$5:$Y$204,37),"")</f>
        <v>0</v>
      </c>
      <c r="G40" s="18" t="str">
        <f aca="false">IFERROR(INDEX('⚡ COMMAND TRACKER'!$Z$5:$Z$204,MATCH(LARGE('⚡ COMMAND TRACKER'!$Y$5:$Y$204,37),'⚡ COMMAND TRACKER'!$Y$5:$Y$204,0)),"")</f>
        <v/>
      </c>
      <c r="H40" s="29" t="n">
        <f aca="false">IFERROR(INDEX('⚡ COMMAND TRACKER'!$T$5:$T$204,MATCH(LARGE('⚡ COMMAND TRACKER'!$Y$5:$Y$204,37),'⚡ COMMAND TRACKER'!$Y$5:$Y$204,0)),"")</f>
        <v>0</v>
      </c>
      <c r="I40" s="18" t="n">
        <f aca="false">IFERROR(INDEX('⚡ COMMAND TRACKER'!$U$5:$U$204,MATCH(LARGE('⚡ COMMAND TRACKER'!$Y$5:$Y$204,37),'⚡ COMMAND TRACKER'!$Y$5:$Y$204,0)),"")</f>
        <v>0</v>
      </c>
      <c r="J40" s="17" t="n">
        <f aca="false">IFERROR(INDEX('⚡ COMMAND TRACKER'!$X$5:$X$204,MATCH(LARGE('⚡ COMMAND TRACKER'!$Y$5:$Y$204,37),'⚡ COMMAND TRACKER'!$Y$5:$Y$204,0)),"")</f>
        <v>0</v>
      </c>
      <c r="K40" s="21" t="n">
        <f aca="false">IFERROR(INDEX('⚡ COMMAND TRACKER'!$AC$5:$AC$204,MATCH(LARGE('⚡ COMMAND TRACKER'!$Y$5:$Y$204,37),'⚡ COMMAND TRACKER'!$Y$5:$Y$204,0)),"")</f>
        <v>0</v>
      </c>
      <c r="L40" s="23" t="str">
        <f aca="true">IFERROR(IF(K40="","",K40-TODAY()),"")</f>
        <v/>
      </c>
      <c r="M40" s="17" t="n">
        <f aca="false">IFERROR(INDEX('⚡ COMMAND TRACKER'!$AE$5:$AE$204,MATCH(LARGE('⚡ COMMAND TRACKER'!$Y$5:$Y$204,37),'⚡ COMMAND TRACKER'!$Y$5:$Y$204,0)),"")</f>
        <v>0</v>
      </c>
    </row>
    <row r="41" customFormat="false" ht="19.5" hidden="false" customHeight="true" outlineLevel="0" collapsed="false">
      <c r="A41" s="10" t="str">
        <f aca="false">IFERROR(INDEX('⚡ COMMAND TRACKER'!$AA$5:$AA$204,MATCH(LARGE('⚡ COMMAND TRACKER'!$Y$5:$Y$204,38),'⚡ COMMAND TRACKER'!$Y$5:$Y$204,0)),"")</f>
        <v>⏳ WORKING</v>
      </c>
      <c r="B41" s="10" t="n">
        <f aca="false">IFERROR(INDEX('⚡ COMMAND TRACKER'!$A$5:$A$204,MATCH(LARGE('⚡ COMMAND TRACKER'!$Y$5:$Y$204,38),'⚡ COMMAND TRACKER'!$Y$5:$Y$204,0)),"")</f>
        <v>0</v>
      </c>
      <c r="C41" s="10" t="n">
        <f aca="false">IFERROR(INDEX('⚡ COMMAND TRACKER'!$E$5:$E$204,MATCH(LARGE('⚡ COMMAND TRACKER'!$Y$5:$Y$204,38),'⚡ COMMAND TRACKER'!$Y$5:$Y$204,0)),"")</f>
        <v>0</v>
      </c>
      <c r="D41" s="30" t="n">
        <f aca="false">IFERROR(INDEX('⚡ COMMAND TRACKER'!$B$5:$B$204,MATCH(LARGE('⚡ COMMAND TRACKER'!$Y$5:$Y$204,38),'⚡ COMMAND TRACKER'!$Y$5:$Y$204,0)),"")</f>
        <v>0</v>
      </c>
      <c r="E41" s="10" t="n">
        <f aca="false">IFERROR(INDEX('⚡ COMMAND TRACKER'!$H$5:$H$204,MATCH(LARGE('⚡ COMMAND TRACKER'!$Y$5:$Y$204,38),'⚡ COMMAND TRACKER'!$Y$5:$Y$204,0)),"")</f>
        <v>0</v>
      </c>
      <c r="F41" s="31" t="n">
        <f aca="false">IFERROR(LARGE('⚡ COMMAND TRACKER'!$Y$5:$Y$204,38),"")</f>
        <v>0</v>
      </c>
      <c r="G41" s="11" t="str">
        <f aca="false">IFERROR(INDEX('⚡ COMMAND TRACKER'!$Z$5:$Z$204,MATCH(LARGE('⚡ COMMAND TRACKER'!$Y$5:$Y$204,38),'⚡ COMMAND TRACKER'!$Y$5:$Y$204,0)),"")</f>
        <v/>
      </c>
      <c r="H41" s="32" t="n">
        <f aca="false">IFERROR(INDEX('⚡ COMMAND TRACKER'!$T$5:$T$204,MATCH(LARGE('⚡ COMMAND TRACKER'!$Y$5:$Y$204,38),'⚡ COMMAND TRACKER'!$Y$5:$Y$204,0)),"")</f>
        <v>0</v>
      </c>
      <c r="I41" s="11" t="n">
        <f aca="false">IFERROR(INDEX('⚡ COMMAND TRACKER'!$U$5:$U$204,MATCH(LARGE('⚡ COMMAND TRACKER'!$Y$5:$Y$204,38),'⚡ COMMAND TRACKER'!$Y$5:$Y$204,0)),"")</f>
        <v>0</v>
      </c>
      <c r="J41" s="10" t="n">
        <f aca="false">IFERROR(INDEX('⚡ COMMAND TRACKER'!$X$5:$X$204,MATCH(LARGE('⚡ COMMAND TRACKER'!$Y$5:$Y$204,38),'⚡ COMMAND TRACKER'!$Y$5:$Y$204,0)),"")</f>
        <v>0</v>
      </c>
      <c r="K41" s="14" t="n">
        <f aca="false">IFERROR(INDEX('⚡ COMMAND TRACKER'!$AC$5:$AC$204,MATCH(LARGE('⚡ COMMAND TRACKER'!$Y$5:$Y$204,38),'⚡ COMMAND TRACKER'!$Y$5:$Y$204,0)),"")</f>
        <v>0</v>
      </c>
      <c r="L41" s="16" t="str">
        <f aca="true">IFERROR(IF(K41="","",K41-TODAY()),"")</f>
        <v/>
      </c>
      <c r="M41" s="10" t="n">
        <f aca="false">IFERROR(INDEX('⚡ COMMAND TRACKER'!$AE$5:$AE$204,MATCH(LARGE('⚡ COMMAND TRACKER'!$Y$5:$Y$204,38),'⚡ COMMAND TRACKER'!$Y$5:$Y$204,0)),"")</f>
        <v>0</v>
      </c>
    </row>
    <row r="42" customFormat="false" ht="19.5" hidden="false" customHeight="true" outlineLevel="0" collapsed="false">
      <c r="A42" s="17" t="str">
        <f aca="false">IFERROR(INDEX('⚡ COMMAND TRACKER'!$AA$5:$AA$204,MATCH(LARGE('⚡ COMMAND TRACKER'!$Y$5:$Y$204,39),'⚡ COMMAND TRACKER'!$Y$5:$Y$204,0)),"")</f>
        <v>⏳ WORKING</v>
      </c>
      <c r="B42" s="17" t="n">
        <f aca="false">IFERROR(INDEX('⚡ COMMAND TRACKER'!$A$5:$A$204,MATCH(LARGE('⚡ COMMAND TRACKER'!$Y$5:$Y$204,39),'⚡ COMMAND TRACKER'!$Y$5:$Y$204,0)),"")</f>
        <v>0</v>
      </c>
      <c r="C42" s="17" t="n">
        <f aca="false">IFERROR(INDEX('⚡ COMMAND TRACKER'!$E$5:$E$204,MATCH(LARGE('⚡ COMMAND TRACKER'!$Y$5:$Y$204,39),'⚡ COMMAND TRACKER'!$Y$5:$Y$204,0)),"")</f>
        <v>0</v>
      </c>
      <c r="D42" s="27" t="n">
        <f aca="false">IFERROR(INDEX('⚡ COMMAND TRACKER'!$B$5:$B$204,MATCH(LARGE('⚡ COMMAND TRACKER'!$Y$5:$Y$204,39),'⚡ COMMAND TRACKER'!$Y$5:$Y$204,0)),"")</f>
        <v>0</v>
      </c>
      <c r="E42" s="17" t="n">
        <f aca="false">IFERROR(INDEX('⚡ COMMAND TRACKER'!$H$5:$H$204,MATCH(LARGE('⚡ COMMAND TRACKER'!$Y$5:$Y$204,39),'⚡ COMMAND TRACKER'!$Y$5:$Y$204,0)),"")</f>
        <v>0</v>
      </c>
      <c r="F42" s="28" t="n">
        <f aca="false">IFERROR(LARGE('⚡ COMMAND TRACKER'!$Y$5:$Y$204,39),"")</f>
        <v>0</v>
      </c>
      <c r="G42" s="18" t="str">
        <f aca="false">IFERROR(INDEX('⚡ COMMAND TRACKER'!$Z$5:$Z$204,MATCH(LARGE('⚡ COMMAND TRACKER'!$Y$5:$Y$204,39),'⚡ COMMAND TRACKER'!$Y$5:$Y$204,0)),"")</f>
        <v/>
      </c>
      <c r="H42" s="29" t="n">
        <f aca="false">IFERROR(INDEX('⚡ COMMAND TRACKER'!$T$5:$T$204,MATCH(LARGE('⚡ COMMAND TRACKER'!$Y$5:$Y$204,39),'⚡ COMMAND TRACKER'!$Y$5:$Y$204,0)),"")</f>
        <v>0</v>
      </c>
      <c r="I42" s="18" t="n">
        <f aca="false">IFERROR(INDEX('⚡ COMMAND TRACKER'!$U$5:$U$204,MATCH(LARGE('⚡ COMMAND TRACKER'!$Y$5:$Y$204,39),'⚡ COMMAND TRACKER'!$Y$5:$Y$204,0)),"")</f>
        <v>0</v>
      </c>
      <c r="J42" s="17" t="n">
        <f aca="false">IFERROR(INDEX('⚡ COMMAND TRACKER'!$X$5:$X$204,MATCH(LARGE('⚡ COMMAND TRACKER'!$Y$5:$Y$204,39),'⚡ COMMAND TRACKER'!$Y$5:$Y$204,0)),"")</f>
        <v>0</v>
      </c>
      <c r="K42" s="21" t="n">
        <f aca="false">IFERROR(INDEX('⚡ COMMAND TRACKER'!$AC$5:$AC$204,MATCH(LARGE('⚡ COMMAND TRACKER'!$Y$5:$Y$204,39),'⚡ COMMAND TRACKER'!$Y$5:$Y$204,0)),"")</f>
        <v>0</v>
      </c>
      <c r="L42" s="23" t="str">
        <f aca="true">IFERROR(IF(K42="","",K42-TODAY()),"")</f>
        <v/>
      </c>
      <c r="M42" s="17" t="n">
        <f aca="false">IFERROR(INDEX('⚡ COMMAND TRACKER'!$AE$5:$AE$204,MATCH(LARGE('⚡ COMMAND TRACKER'!$Y$5:$Y$204,39),'⚡ COMMAND TRACKER'!$Y$5:$Y$204,0)),"")</f>
        <v>0</v>
      </c>
    </row>
    <row r="43" customFormat="false" ht="19.5" hidden="false" customHeight="true" outlineLevel="0" collapsed="false">
      <c r="A43" s="10" t="str">
        <f aca="false">IFERROR(INDEX('⚡ COMMAND TRACKER'!$AA$5:$AA$204,MATCH(LARGE('⚡ COMMAND TRACKER'!$Y$5:$Y$204,40),'⚡ COMMAND TRACKER'!$Y$5:$Y$204,0)),"")</f>
        <v>⏳ WORKING</v>
      </c>
      <c r="B43" s="10" t="n">
        <f aca="false">IFERROR(INDEX('⚡ COMMAND TRACKER'!$A$5:$A$204,MATCH(LARGE('⚡ COMMAND TRACKER'!$Y$5:$Y$204,40),'⚡ COMMAND TRACKER'!$Y$5:$Y$204,0)),"")</f>
        <v>0</v>
      </c>
      <c r="C43" s="10" t="n">
        <f aca="false">IFERROR(INDEX('⚡ COMMAND TRACKER'!$E$5:$E$204,MATCH(LARGE('⚡ COMMAND TRACKER'!$Y$5:$Y$204,40),'⚡ COMMAND TRACKER'!$Y$5:$Y$204,0)),"")</f>
        <v>0</v>
      </c>
      <c r="D43" s="30" t="n">
        <f aca="false">IFERROR(INDEX('⚡ COMMAND TRACKER'!$B$5:$B$204,MATCH(LARGE('⚡ COMMAND TRACKER'!$Y$5:$Y$204,40),'⚡ COMMAND TRACKER'!$Y$5:$Y$204,0)),"")</f>
        <v>0</v>
      </c>
      <c r="E43" s="10" t="n">
        <f aca="false">IFERROR(INDEX('⚡ COMMAND TRACKER'!$H$5:$H$204,MATCH(LARGE('⚡ COMMAND TRACKER'!$Y$5:$Y$204,40),'⚡ COMMAND TRACKER'!$Y$5:$Y$204,0)),"")</f>
        <v>0</v>
      </c>
      <c r="F43" s="31" t="n">
        <f aca="false">IFERROR(LARGE('⚡ COMMAND TRACKER'!$Y$5:$Y$204,40),"")</f>
        <v>0</v>
      </c>
      <c r="G43" s="11" t="str">
        <f aca="false">IFERROR(INDEX('⚡ COMMAND TRACKER'!$Z$5:$Z$204,MATCH(LARGE('⚡ COMMAND TRACKER'!$Y$5:$Y$204,40),'⚡ COMMAND TRACKER'!$Y$5:$Y$204,0)),"")</f>
        <v/>
      </c>
      <c r="H43" s="32" t="n">
        <f aca="false">IFERROR(INDEX('⚡ COMMAND TRACKER'!$T$5:$T$204,MATCH(LARGE('⚡ COMMAND TRACKER'!$Y$5:$Y$204,40),'⚡ COMMAND TRACKER'!$Y$5:$Y$204,0)),"")</f>
        <v>0</v>
      </c>
      <c r="I43" s="11" t="n">
        <f aca="false">IFERROR(INDEX('⚡ COMMAND TRACKER'!$U$5:$U$204,MATCH(LARGE('⚡ COMMAND TRACKER'!$Y$5:$Y$204,40),'⚡ COMMAND TRACKER'!$Y$5:$Y$204,0)),"")</f>
        <v>0</v>
      </c>
      <c r="J43" s="10" t="n">
        <f aca="false">IFERROR(INDEX('⚡ COMMAND TRACKER'!$X$5:$X$204,MATCH(LARGE('⚡ COMMAND TRACKER'!$Y$5:$Y$204,40),'⚡ COMMAND TRACKER'!$Y$5:$Y$204,0)),"")</f>
        <v>0</v>
      </c>
      <c r="K43" s="14" t="n">
        <f aca="false">IFERROR(INDEX('⚡ COMMAND TRACKER'!$AC$5:$AC$204,MATCH(LARGE('⚡ COMMAND TRACKER'!$Y$5:$Y$204,40),'⚡ COMMAND TRACKER'!$Y$5:$Y$204,0)),"")</f>
        <v>0</v>
      </c>
      <c r="L43" s="16" t="str">
        <f aca="true">IFERROR(IF(K43="","",K43-TODAY()),"")</f>
        <v/>
      </c>
      <c r="M43" s="10" t="n">
        <f aca="false">IFERROR(INDEX('⚡ COMMAND TRACKER'!$AE$5:$AE$204,MATCH(LARGE('⚡ COMMAND TRACKER'!$Y$5:$Y$204,40),'⚡ COMMAND TRACKER'!$Y$5:$Y$204,0)),"")</f>
        <v>0</v>
      </c>
    </row>
    <row r="44" customFormat="false" ht="19.5" hidden="false" customHeight="true" outlineLevel="0" collapsed="false">
      <c r="A44" s="17" t="str">
        <f aca="false">IFERROR(INDEX('⚡ COMMAND TRACKER'!$AA$5:$AA$204,MATCH(LARGE('⚡ COMMAND TRACKER'!$Y$5:$Y$204,41),'⚡ COMMAND TRACKER'!$Y$5:$Y$204,0)),"")</f>
        <v>⏳ WORKING</v>
      </c>
      <c r="B44" s="17" t="n">
        <f aca="false">IFERROR(INDEX('⚡ COMMAND TRACKER'!$A$5:$A$204,MATCH(LARGE('⚡ COMMAND TRACKER'!$Y$5:$Y$204,41),'⚡ COMMAND TRACKER'!$Y$5:$Y$204,0)),"")</f>
        <v>0</v>
      </c>
      <c r="C44" s="17" t="n">
        <f aca="false">IFERROR(INDEX('⚡ COMMAND TRACKER'!$E$5:$E$204,MATCH(LARGE('⚡ COMMAND TRACKER'!$Y$5:$Y$204,41),'⚡ COMMAND TRACKER'!$Y$5:$Y$204,0)),"")</f>
        <v>0</v>
      </c>
      <c r="D44" s="27" t="n">
        <f aca="false">IFERROR(INDEX('⚡ COMMAND TRACKER'!$B$5:$B$204,MATCH(LARGE('⚡ COMMAND TRACKER'!$Y$5:$Y$204,41),'⚡ COMMAND TRACKER'!$Y$5:$Y$204,0)),"")</f>
        <v>0</v>
      </c>
      <c r="E44" s="17" t="n">
        <f aca="false">IFERROR(INDEX('⚡ COMMAND TRACKER'!$H$5:$H$204,MATCH(LARGE('⚡ COMMAND TRACKER'!$Y$5:$Y$204,41),'⚡ COMMAND TRACKER'!$Y$5:$Y$204,0)),"")</f>
        <v>0</v>
      </c>
      <c r="F44" s="28" t="n">
        <f aca="false">IFERROR(LARGE('⚡ COMMAND TRACKER'!$Y$5:$Y$204,41),"")</f>
        <v>0</v>
      </c>
      <c r="G44" s="18" t="str">
        <f aca="false">IFERROR(INDEX('⚡ COMMAND TRACKER'!$Z$5:$Z$204,MATCH(LARGE('⚡ COMMAND TRACKER'!$Y$5:$Y$204,41),'⚡ COMMAND TRACKER'!$Y$5:$Y$204,0)),"")</f>
        <v/>
      </c>
      <c r="H44" s="29" t="n">
        <f aca="false">IFERROR(INDEX('⚡ COMMAND TRACKER'!$T$5:$T$204,MATCH(LARGE('⚡ COMMAND TRACKER'!$Y$5:$Y$204,41),'⚡ COMMAND TRACKER'!$Y$5:$Y$204,0)),"")</f>
        <v>0</v>
      </c>
      <c r="I44" s="18" t="n">
        <f aca="false">IFERROR(INDEX('⚡ COMMAND TRACKER'!$U$5:$U$204,MATCH(LARGE('⚡ COMMAND TRACKER'!$Y$5:$Y$204,41),'⚡ COMMAND TRACKER'!$Y$5:$Y$204,0)),"")</f>
        <v>0</v>
      </c>
      <c r="J44" s="17" t="n">
        <f aca="false">IFERROR(INDEX('⚡ COMMAND TRACKER'!$X$5:$X$204,MATCH(LARGE('⚡ COMMAND TRACKER'!$Y$5:$Y$204,41),'⚡ COMMAND TRACKER'!$Y$5:$Y$204,0)),"")</f>
        <v>0</v>
      </c>
      <c r="K44" s="21" t="n">
        <f aca="false">IFERROR(INDEX('⚡ COMMAND TRACKER'!$AC$5:$AC$204,MATCH(LARGE('⚡ COMMAND TRACKER'!$Y$5:$Y$204,41),'⚡ COMMAND TRACKER'!$Y$5:$Y$204,0)),"")</f>
        <v>0</v>
      </c>
      <c r="L44" s="23" t="str">
        <f aca="true">IFERROR(IF(K44="","",K44-TODAY()),"")</f>
        <v/>
      </c>
      <c r="M44" s="17" t="n">
        <f aca="false">IFERROR(INDEX('⚡ COMMAND TRACKER'!$AE$5:$AE$204,MATCH(LARGE('⚡ COMMAND TRACKER'!$Y$5:$Y$204,41),'⚡ COMMAND TRACKER'!$Y$5:$Y$204,0)),"")</f>
        <v>0</v>
      </c>
    </row>
    <row r="45" customFormat="false" ht="19.5" hidden="false" customHeight="true" outlineLevel="0" collapsed="false">
      <c r="A45" s="10" t="str">
        <f aca="false">IFERROR(INDEX('⚡ COMMAND TRACKER'!$AA$5:$AA$204,MATCH(LARGE('⚡ COMMAND TRACKER'!$Y$5:$Y$204,42),'⚡ COMMAND TRACKER'!$Y$5:$Y$204,0)),"")</f>
        <v>⏳ WORKING</v>
      </c>
      <c r="B45" s="10" t="n">
        <f aca="false">IFERROR(INDEX('⚡ COMMAND TRACKER'!$A$5:$A$204,MATCH(LARGE('⚡ COMMAND TRACKER'!$Y$5:$Y$204,42),'⚡ COMMAND TRACKER'!$Y$5:$Y$204,0)),"")</f>
        <v>0</v>
      </c>
      <c r="C45" s="10" t="n">
        <f aca="false">IFERROR(INDEX('⚡ COMMAND TRACKER'!$E$5:$E$204,MATCH(LARGE('⚡ COMMAND TRACKER'!$Y$5:$Y$204,42),'⚡ COMMAND TRACKER'!$Y$5:$Y$204,0)),"")</f>
        <v>0</v>
      </c>
      <c r="D45" s="30" t="n">
        <f aca="false">IFERROR(INDEX('⚡ COMMAND TRACKER'!$B$5:$B$204,MATCH(LARGE('⚡ COMMAND TRACKER'!$Y$5:$Y$204,42),'⚡ COMMAND TRACKER'!$Y$5:$Y$204,0)),"")</f>
        <v>0</v>
      </c>
      <c r="E45" s="10" t="n">
        <f aca="false">IFERROR(INDEX('⚡ COMMAND TRACKER'!$H$5:$H$204,MATCH(LARGE('⚡ COMMAND TRACKER'!$Y$5:$Y$204,42),'⚡ COMMAND TRACKER'!$Y$5:$Y$204,0)),"")</f>
        <v>0</v>
      </c>
      <c r="F45" s="31" t="n">
        <f aca="false">IFERROR(LARGE('⚡ COMMAND TRACKER'!$Y$5:$Y$204,42),"")</f>
        <v>0</v>
      </c>
      <c r="G45" s="11" t="str">
        <f aca="false">IFERROR(INDEX('⚡ COMMAND TRACKER'!$Z$5:$Z$204,MATCH(LARGE('⚡ COMMAND TRACKER'!$Y$5:$Y$204,42),'⚡ COMMAND TRACKER'!$Y$5:$Y$204,0)),"")</f>
        <v/>
      </c>
      <c r="H45" s="32" t="n">
        <f aca="false">IFERROR(INDEX('⚡ COMMAND TRACKER'!$T$5:$T$204,MATCH(LARGE('⚡ COMMAND TRACKER'!$Y$5:$Y$204,42),'⚡ COMMAND TRACKER'!$Y$5:$Y$204,0)),"")</f>
        <v>0</v>
      </c>
      <c r="I45" s="11" t="n">
        <f aca="false">IFERROR(INDEX('⚡ COMMAND TRACKER'!$U$5:$U$204,MATCH(LARGE('⚡ COMMAND TRACKER'!$Y$5:$Y$204,42),'⚡ COMMAND TRACKER'!$Y$5:$Y$204,0)),"")</f>
        <v>0</v>
      </c>
      <c r="J45" s="10" t="n">
        <f aca="false">IFERROR(INDEX('⚡ COMMAND TRACKER'!$X$5:$X$204,MATCH(LARGE('⚡ COMMAND TRACKER'!$Y$5:$Y$204,42),'⚡ COMMAND TRACKER'!$Y$5:$Y$204,0)),"")</f>
        <v>0</v>
      </c>
      <c r="K45" s="14" t="n">
        <f aca="false">IFERROR(INDEX('⚡ COMMAND TRACKER'!$AC$5:$AC$204,MATCH(LARGE('⚡ COMMAND TRACKER'!$Y$5:$Y$204,42),'⚡ COMMAND TRACKER'!$Y$5:$Y$204,0)),"")</f>
        <v>0</v>
      </c>
      <c r="L45" s="16" t="str">
        <f aca="true">IFERROR(IF(K45="","",K45-TODAY()),"")</f>
        <v/>
      </c>
      <c r="M45" s="10" t="n">
        <f aca="false">IFERROR(INDEX('⚡ COMMAND TRACKER'!$AE$5:$AE$204,MATCH(LARGE('⚡ COMMAND TRACKER'!$Y$5:$Y$204,42),'⚡ COMMAND TRACKER'!$Y$5:$Y$204,0)),"")</f>
        <v>0</v>
      </c>
    </row>
    <row r="46" customFormat="false" ht="19.5" hidden="false" customHeight="true" outlineLevel="0" collapsed="false">
      <c r="A46" s="17" t="str">
        <f aca="false">IFERROR(INDEX('⚡ COMMAND TRACKER'!$AA$5:$AA$204,MATCH(LARGE('⚡ COMMAND TRACKER'!$Y$5:$Y$204,43),'⚡ COMMAND TRACKER'!$Y$5:$Y$204,0)),"")</f>
        <v>⏳ WORKING</v>
      </c>
      <c r="B46" s="17" t="n">
        <f aca="false">IFERROR(INDEX('⚡ COMMAND TRACKER'!$A$5:$A$204,MATCH(LARGE('⚡ COMMAND TRACKER'!$Y$5:$Y$204,43),'⚡ COMMAND TRACKER'!$Y$5:$Y$204,0)),"")</f>
        <v>0</v>
      </c>
      <c r="C46" s="17" t="n">
        <f aca="false">IFERROR(INDEX('⚡ COMMAND TRACKER'!$E$5:$E$204,MATCH(LARGE('⚡ COMMAND TRACKER'!$Y$5:$Y$204,43),'⚡ COMMAND TRACKER'!$Y$5:$Y$204,0)),"")</f>
        <v>0</v>
      </c>
      <c r="D46" s="27" t="n">
        <f aca="false">IFERROR(INDEX('⚡ COMMAND TRACKER'!$B$5:$B$204,MATCH(LARGE('⚡ COMMAND TRACKER'!$Y$5:$Y$204,43),'⚡ COMMAND TRACKER'!$Y$5:$Y$204,0)),"")</f>
        <v>0</v>
      </c>
      <c r="E46" s="17" t="n">
        <f aca="false">IFERROR(INDEX('⚡ COMMAND TRACKER'!$H$5:$H$204,MATCH(LARGE('⚡ COMMAND TRACKER'!$Y$5:$Y$204,43),'⚡ COMMAND TRACKER'!$Y$5:$Y$204,0)),"")</f>
        <v>0</v>
      </c>
      <c r="F46" s="28" t="n">
        <f aca="false">IFERROR(LARGE('⚡ COMMAND TRACKER'!$Y$5:$Y$204,43),"")</f>
        <v>0</v>
      </c>
      <c r="G46" s="18" t="str">
        <f aca="false">IFERROR(INDEX('⚡ COMMAND TRACKER'!$Z$5:$Z$204,MATCH(LARGE('⚡ COMMAND TRACKER'!$Y$5:$Y$204,43),'⚡ COMMAND TRACKER'!$Y$5:$Y$204,0)),"")</f>
        <v/>
      </c>
      <c r="H46" s="29" t="n">
        <f aca="false">IFERROR(INDEX('⚡ COMMAND TRACKER'!$T$5:$T$204,MATCH(LARGE('⚡ COMMAND TRACKER'!$Y$5:$Y$204,43),'⚡ COMMAND TRACKER'!$Y$5:$Y$204,0)),"")</f>
        <v>0</v>
      </c>
      <c r="I46" s="18" t="n">
        <f aca="false">IFERROR(INDEX('⚡ COMMAND TRACKER'!$U$5:$U$204,MATCH(LARGE('⚡ COMMAND TRACKER'!$Y$5:$Y$204,43),'⚡ COMMAND TRACKER'!$Y$5:$Y$204,0)),"")</f>
        <v>0</v>
      </c>
      <c r="J46" s="17" t="n">
        <f aca="false">IFERROR(INDEX('⚡ COMMAND TRACKER'!$X$5:$X$204,MATCH(LARGE('⚡ COMMAND TRACKER'!$Y$5:$Y$204,43),'⚡ COMMAND TRACKER'!$Y$5:$Y$204,0)),"")</f>
        <v>0</v>
      </c>
      <c r="K46" s="21" t="n">
        <f aca="false">IFERROR(INDEX('⚡ COMMAND TRACKER'!$AC$5:$AC$204,MATCH(LARGE('⚡ COMMAND TRACKER'!$Y$5:$Y$204,43),'⚡ COMMAND TRACKER'!$Y$5:$Y$204,0)),"")</f>
        <v>0</v>
      </c>
      <c r="L46" s="23" t="str">
        <f aca="true">IFERROR(IF(K46="","",K46-TODAY()),"")</f>
        <v/>
      </c>
      <c r="M46" s="17" t="n">
        <f aca="false">IFERROR(INDEX('⚡ COMMAND TRACKER'!$AE$5:$AE$204,MATCH(LARGE('⚡ COMMAND TRACKER'!$Y$5:$Y$204,43),'⚡ COMMAND TRACKER'!$Y$5:$Y$204,0)),"")</f>
        <v>0</v>
      </c>
    </row>
    <row r="47" customFormat="false" ht="19.5" hidden="false" customHeight="true" outlineLevel="0" collapsed="false">
      <c r="A47" s="10" t="str">
        <f aca="false">IFERROR(INDEX('⚡ COMMAND TRACKER'!$AA$5:$AA$204,MATCH(LARGE('⚡ COMMAND TRACKER'!$Y$5:$Y$204,44),'⚡ COMMAND TRACKER'!$Y$5:$Y$204,0)),"")</f>
        <v>⏳ WORKING</v>
      </c>
      <c r="B47" s="10" t="n">
        <f aca="false">IFERROR(INDEX('⚡ COMMAND TRACKER'!$A$5:$A$204,MATCH(LARGE('⚡ COMMAND TRACKER'!$Y$5:$Y$204,44),'⚡ COMMAND TRACKER'!$Y$5:$Y$204,0)),"")</f>
        <v>0</v>
      </c>
      <c r="C47" s="10" t="n">
        <f aca="false">IFERROR(INDEX('⚡ COMMAND TRACKER'!$E$5:$E$204,MATCH(LARGE('⚡ COMMAND TRACKER'!$Y$5:$Y$204,44),'⚡ COMMAND TRACKER'!$Y$5:$Y$204,0)),"")</f>
        <v>0</v>
      </c>
      <c r="D47" s="30" t="n">
        <f aca="false">IFERROR(INDEX('⚡ COMMAND TRACKER'!$B$5:$B$204,MATCH(LARGE('⚡ COMMAND TRACKER'!$Y$5:$Y$204,44),'⚡ COMMAND TRACKER'!$Y$5:$Y$204,0)),"")</f>
        <v>0</v>
      </c>
      <c r="E47" s="10" t="n">
        <f aca="false">IFERROR(INDEX('⚡ COMMAND TRACKER'!$H$5:$H$204,MATCH(LARGE('⚡ COMMAND TRACKER'!$Y$5:$Y$204,44),'⚡ COMMAND TRACKER'!$Y$5:$Y$204,0)),"")</f>
        <v>0</v>
      </c>
      <c r="F47" s="31" t="n">
        <f aca="false">IFERROR(LARGE('⚡ COMMAND TRACKER'!$Y$5:$Y$204,44),"")</f>
        <v>0</v>
      </c>
      <c r="G47" s="11" t="str">
        <f aca="false">IFERROR(INDEX('⚡ COMMAND TRACKER'!$Z$5:$Z$204,MATCH(LARGE('⚡ COMMAND TRACKER'!$Y$5:$Y$204,44),'⚡ COMMAND TRACKER'!$Y$5:$Y$204,0)),"")</f>
        <v/>
      </c>
      <c r="H47" s="32" t="n">
        <f aca="false">IFERROR(INDEX('⚡ COMMAND TRACKER'!$T$5:$T$204,MATCH(LARGE('⚡ COMMAND TRACKER'!$Y$5:$Y$204,44),'⚡ COMMAND TRACKER'!$Y$5:$Y$204,0)),"")</f>
        <v>0</v>
      </c>
      <c r="I47" s="11" t="n">
        <f aca="false">IFERROR(INDEX('⚡ COMMAND TRACKER'!$U$5:$U$204,MATCH(LARGE('⚡ COMMAND TRACKER'!$Y$5:$Y$204,44),'⚡ COMMAND TRACKER'!$Y$5:$Y$204,0)),"")</f>
        <v>0</v>
      </c>
      <c r="J47" s="10" t="n">
        <f aca="false">IFERROR(INDEX('⚡ COMMAND TRACKER'!$X$5:$X$204,MATCH(LARGE('⚡ COMMAND TRACKER'!$Y$5:$Y$204,44),'⚡ COMMAND TRACKER'!$Y$5:$Y$204,0)),"")</f>
        <v>0</v>
      </c>
      <c r="K47" s="14" t="n">
        <f aca="false">IFERROR(INDEX('⚡ COMMAND TRACKER'!$AC$5:$AC$204,MATCH(LARGE('⚡ COMMAND TRACKER'!$Y$5:$Y$204,44),'⚡ COMMAND TRACKER'!$Y$5:$Y$204,0)),"")</f>
        <v>0</v>
      </c>
      <c r="L47" s="16" t="str">
        <f aca="true">IFERROR(IF(K47="","",K47-TODAY()),"")</f>
        <v/>
      </c>
      <c r="M47" s="10" t="n">
        <f aca="false">IFERROR(INDEX('⚡ COMMAND TRACKER'!$AE$5:$AE$204,MATCH(LARGE('⚡ COMMAND TRACKER'!$Y$5:$Y$204,44),'⚡ COMMAND TRACKER'!$Y$5:$Y$204,0)),"")</f>
        <v>0</v>
      </c>
    </row>
    <row r="48" customFormat="false" ht="19.5" hidden="false" customHeight="true" outlineLevel="0" collapsed="false">
      <c r="A48" s="17" t="str">
        <f aca="false">IFERROR(INDEX('⚡ COMMAND TRACKER'!$AA$5:$AA$204,MATCH(LARGE('⚡ COMMAND TRACKER'!$Y$5:$Y$204,45),'⚡ COMMAND TRACKER'!$Y$5:$Y$204,0)),"")</f>
        <v>⏳ WORKING</v>
      </c>
      <c r="B48" s="17" t="n">
        <f aca="false">IFERROR(INDEX('⚡ COMMAND TRACKER'!$A$5:$A$204,MATCH(LARGE('⚡ COMMAND TRACKER'!$Y$5:$Y$204,45),'⚡ COMMAND TRACKER'!$Y$5:$Y$204,0)),"")</f>
        <v>0</v>
      </c>
      <c r="C48" s="17" t="n">
        <f aca="false">IFERROR(INDEX('⚡ COMMAND TRACKER'!$E$5:$E$204,MATCH(LARGE('⚡ COMMAND TRACKER'!$Y$5:$Y$204,45),'⚡ COMMAND TRACKER'!$Y$5:$Y$204,0)),"")</f>
        <v>0</v>
      </c>
      <c r="D48" s="27" t="n">
        <f aca="false">IFERROR(INDEX('⚡ COMMAND TRACKER'!$B$5:$B$204,MATCH(LARGE('⚡ COMMAND TRACKER'!$Y$5:$Y$204,45),'⚡ COMMAND TRACKER'!$Y$5:$Y$204,0)),"")</f>
        <v>0</v>
      </c>
      <c r="E48" s="17" t="n">
        <f aca="false">IFERROR(INDEX('⚡ COMMAND TRACKER'!$H$5:$H$204,MATCH(LARGE('⚡ COMMAND TRACKER'!$Y$5:$Y$204,45),'⚡ COMMAND TRACKER'!$Y$5:$Y$204,0)),"")</f>
        <v>0</v>
      </c>
      <c r="F48" s="28" t="n">
        <f aca="false">IFERROR(LARGE('⚡ COMMAND TRACKER'!$Y$5:$Y$204,45),"")</f>
        <v>0</v>
      </c>
      <c r="G48" s="18" t="str">
        <f aca="false">IFERROR(INDEX('⚡ COMMAND TRACKER'!$Z$5:$Z$204,MATCH(LARGE('⚡ COMMAND TRACKER'!$Y$5:$Y$204,45),'⚡ COMMAND TRACKER'!$Y$5:$Y$204,0)),"")</f>
        <v/>
      </c>
      <c r="H48" s="29" t="n">
        <f aca="false">IFERROR(INDEX('⚡ COMMAND TRACKER'!$T$5:$T$204,MATCH(LARGE('⚡ COMMAND TRACKER'!$Y$5:$Y$204,45),'⚡ COMMAND TRACKER'!$Y$5:$Y$204,0)),"")</f>
        <v>0</v>
      </c>
      <c r="I48" s="18" t="n">
        <f aca="false">IFERROR(INDEX('⚡ COMMAND TRACKER'!$U$5:$U$204,MATCH(LARGE('⚡ COMMAND TRACKER'!$Y$5:$Y$204,45),'⚡ COMMAND TRACKER'!$Y$5:$Y$204,0)),"")</f>
        <v>0</v>
      </c>
      <c r="J48" s="17" t="n">
        <f aca="false">IFERROR(INDEX('⚡ COMMAND TRACKER'!$X$5:$X$204,MATCH(LARGE('⚡ COMMAND TRACKER'!$Y$5:$Y$204,45),'⚡ COMMAND TRACKER'!$Y$5:$Y$204,0)),"")</f>
        <v>0</v>
      </c>
      <c r="K48" s="21" t="n">
        <f aca="false">IFERROR(INDEX('⚡ COMMAND TRACKER'!$AC$5:$AC$204,MATCH(LARGE('⚡ COMMAND TRACKER'!$Y$5:$Y$204,45),'⚡ COMMAND TRACKER'!$Y$5:$Y$204,0)),"")</f>
        <v>0</v>
      </c>
      <c r="L48" s="23" t="str">
        <f aca="true">IFERROR(IF(K48="","",K48-TODAY()),"")</f>
        <v/>
      </c>
      <c r="M48" s="17" t="n">
        <f aca="false">IFERROR(INDEX('⚡ COMMAND TRACKER'!$AE$5:$AE$204,MATCH(LARGE('⚡ COMMAND TRACKER'!$Y$5:$Y$204,45),'⚡ COMMAND TRACKER'!$Y$5:$Y$204,0)),"")</f>
        <v>0</v>
      </c>
    </row>
    <row r="49" customFormat="false" ht="19.5" hidden="false" customHeight="true" outlineLevel="0" collapsed="false">
      <c r="A49" s="10" t="str">
        <f aca="false">IFERROR(INDEX('⚡ COMMAND TRACKER'!$AA$5:$AA$204,MATCH(LARGE('⚡ COMMAND TRACKER'!$Y$5:$Y$204,46),'⚡ COMMAND TRACKER'!$Y$5:$Y$204,0)),"")</f>
        <v>⏳ WORKING</v>
      </c>
      <c r="B49" s="10" t="n">
        <f aca="false">IFERROR(INDEX('⚡ COMMAND TRACKER'!$A$5:$A$204,MATCH(LARGE('⚡ COMMAND TRACKER'!$Y$5:$Y$204,46),'⚡ COMMAND TRACKER'!$Y$5:$Y$204,0)),"")</f>
        <v>0</v>
      </c>
      <c r="C49" s="10" t="n">
        <f aca="false">IFERROR(INDEX('⚡ COMMAND TRACKER'!$E$5:$E$204,MATCH(LARGE('⚡ COMMAND TRACKER'!$Y$5:$Y$204,46),'⚡ COMMAND TRACKER'!$Y$5:$Y$204,0)),"")</f>
        <v>0</v>
      </c>
      <c r="D49" s="30" t="n">
        <f aca="false">IFERROR(INDEX('⚡ COMMAND TRACKER'!$B$5:$B$204,MATCH(LARGE('⚡ COMMAND TRACKER'!$Y$5:$Y$204,46),'⚡ COMMAND TRACKER'!$Y$5:$Y$204,0)),"")</f>
        <v>0</v>
      </c>
      <c r="E49" s="10" t="n">
        <f aca="false">IFERROR(INDEX('⚡ COMMAND TRACKER'!$H$5:$H$204,MATCH(LARGE('⚡ COMMAND TRACKER'!$Y$5:$Y$204,46),'⚡ COMMAND TRACKER'!$Y$5:$Y$204,0)),"")</f>
        <v>0</v>
      </c>
      <c r="F49" s="31" t="n">
        <f aca="false">IFERROR(LARGE('⚡ COMMAND TRACKER'!$Y$5:$Y$204,46),"")</f>
        <v>0</v>
      </c>
      <c r="G49" s="11" t="str">
        <f aca="false">IFERROR(INDEX('⚡ COMMAND TRACKER'!$Z$5:$Z$204,MATCH(LARGE('⚡ COMMAND TRACKER'!$Y$5:$Y$204,46),'⚡ COMMAND TRACKER'!$Y$5:$Y$204,0)),"")</f>
        <v/>
      </c>
      <c r="H49" s="32" t="n">
        <f aca="false">IFERROR(INDEX('⚡ COMMAND TRACKER'!$T$5:$T$204,MATCH(LARGE('⚡ COMMAND TRACKER'!$Y$5:$Y$204,46),'⚡ COMMAND TRACKER'!$Y$5:$Y$204,0)),"")</f>
        <v>0</v>
      </c>
      <c r="I49" s="11" t="n">
        <f aca="false">IFERROR(INDEX('⚡ COMMAND TRACKER'!$U$5:$U$204,MATCH(LARGE('⚡ COMMAND TRACKER'!$Y$5:$Y$204,46),'⚡ COMMAND TRACKER'!$Y$5:$Y$204,0)),"")</f>
        <v>0</v>
      </c>
      <c r="J49" s="10" t="n">
        <f aca="false">IFERROR(INDEX('⚡ COMMAND TRACKER'!$X$5:$X$204,MATCH(LARGE('⚡ COMMAND TRACKER'!$Y$5:$Y$204,46),'⚡ COMMAND TRACKER'!$Y$5:$Y$204,0)),"")</f>
        <v>0</v>
      </c>
      <c r="K49" s="14" t="n">
        <f aca="false">IFERROR(INDEX('⚡ COMMAND TRACKER'!$AC$5:$AC$204,MATCH(LARGE('⚡ COMMAND TRACKER'!$Y$5:$Y$204,46),'⚡ COMMAND TRACKER'!$Y$5:$Y$204,0)),"")</f>
        <v>0</v>
      </c>
      <c r="L49" s="16" t="str">
        <f aca="true">IFERROR(IF(K49="","",K49-TODAY()),"")</f>
        <v/>
      </c>
      <c r="M49" s="10" t="n">
        <f aca="false">IFERROR(INDEX('⚡ COMMAND TRACKER'!$AE$5:$AE$204,MATCH(LARGE('⚡ COMMAND TRACKER'!$Y$5:$Y$204,46),'⚡ COMMAND TRACKER'!$Y$5:$Y$204,0)),"")</f>
        <v>0</v>
      </c>
    </row>
    <row r="50" customFormat="false" ht="19.5" hidden="false" customHeight="true" outlineLevel="0" collapsed="false">
      <c r="A50" s="17" t="str">
        <f aca="false">IFERROR(INDEX('⚡ COMMAND TRACKER'!$AA$5:$AA$204,MATCH(LARGE('⚡ COMMAND TRACKER'!$Y$5:$Y$204,47),'⚡ COMMAND TRACKER'!$Y$5:$Y$204,0)),"")</f>
        <v>⏳ WORKING</v>
      </c>
      <c r="B50" s="17" t="n">
        <f aca="false">IFERROR(INDEX('⚡ COMMAND TRACKER'!$A$5:$A$204,MATCH(LARGE('⚡ COMMAND TRACKER'!$Y$5:$Y$204,47),'⚡ COMMAND TRACKER'!$Y$5:$Y$204,0)),"")</f>
        <v>0</v>
      </c>
      <c r="C50" s="17" t="n">
        <f aca="false">IFERROR(INDEX('⚡ COMMAND TRACKER'!$E$5:$E$204,MATCH(LARGE('⚡ COMMAND TRACKER'!$Y$5:$Y$204,47),'⚡ COMMAND TRACKER'!$Y$5:$Y$204,0)),"")</f>
        <v>0</v>
      </c>
      <c r="D50" s="27" t="n">
        <f aca="false">IFERROR(INDEX('⚡ COMMAND TRACKER'!$B$5:$B$204,MATCH(LARGE('⚡ COMMAND TRACKER'!$Y$5:$Y$204,47),'⚡ COMMAND TRACKER'!$Y$5:$Y$204,0)),"")</f>
        <v>0</v>
      </c>
      <c r="E50" s="17" t="n">
        <f aca="false">IFERROR(INDEX('⚡ COMMAND TRACKER'!$H$5:$H$204,MATCH(LARGE('⚡ COMMAND TRACKER'!$Y$5:$Y$204,47),'⚡ COMMAND TRACKER'!$Y$5:$Y$204,0)),"")</f>
        <v>0</v>
      </c>
      <c r="F50" s="28" t="n">
        <f aca="false">IFERROR(LARGE('⚡ COMMAND TRACKER'!$Y$5:$Y$204,47),"")</f>
        <v>0</v>
      </c>
      <c r="G50" s="18" t="str">
        <f aca="false">IFERROR(INDEX('⚡ COMMAND TRACKER'!$Z$5:$Z$204,MATCH(LARGE('⚡ COMMAND TRACKER'!$Y$5:$Y$204,47),'⚡ COMMAND TRACKER'!$Y$5:$Y$204,0)),"")</f>
        <v/>
      </c>
      <c r="H50" s="29" t="n">
        <f aca="false">IFERROR(INDEX('⚡ COMMAND TRACKER'!$T$5:$T$204,MATCH(LARGE('⚡ COMMAND TRACKER'!$Y$5:$Y$204,47),'⚡ COMMAND TRACKER'!$Y$5:$Y$204,0)),"")</f>
        <v>0</v>
      </c>
      <c r="I50" s="18" t="n">
        <f aca="false">IFERROR(INDEX('⚡ COMMAND TRACKER'!$U$5:$U$204,MATCH(LARGE('⚡ COMMAND TRACKER'!$Y$5:$Y$204,47),'⚡ COMMAND TRACKER'!$Y$5:$Y$204,0)),"")</f>
        <v>0</v>
      </c>
      <c r="J50" s="17" t="n">
        <f aca="false">IFERROR(INDEX('⚡ COMMAND TRACKER'!$X$5:$X$204,MATCH(LARGE('⚡ COMMAND TRACKER'!$Y$5:$Y$204,47),'⚡ COMMAND TRACKER'!$Y$5:$Y$204,0)),"")</f>
        <v>0</v>
      </c>
      <c r="K50" s="21" t="n">
        <f aca="false">IFERROR(INDEX('⚡ COMMAND TRACKER'!$AC$5:$AC$204,MATCH(LARGE('⚡ COMMAND TRACKER'!$Y$5:$Y$204,47),'⚡ COMMAND TRACKER'!$Y$5:$Y$204,0)),"")</f>
        <v>0</v>
      </c>
      <c r="L50" s="23" t="str">
        <f aca="true">IFERROR(IF(K50="","",K50-TODAY()),"")</f>
        <v/>
      </c>
      <c r="M50" s="17" t="n">
        <f aca="false">IFERROR(INDEX('⚡ COMMAND TRACKER'!$AE$5:$AE$204,MATCH(LARGE('⚡ COMMAND TRACKER'!$Y$5:$Y$204,47),'⚡ COMMAND TRACKER'!$Y$5:$Y$204,0)),"")</f>
        <v>0</v>
      </c>
    </row>
    <row r="51" customFormat="false" ht="19.5" hidden="false" customHeight="true" outlineLevel="0" collapsed="false">
      <c r="A51" s="10" t="str">
        <f aca="false">IFERROR(INDEX('⚡ COMMAND TRACKER'!$AA$5:$AA$204,MATCH(LARGE('⚡ COMMAND TRACKER'!$Y$5:$Y$204,48),'⚡ COMMAND TRACKER'!$Y$5:$Y$204,0)),"")</f>
        <v>⏳ WORKING</v>
      </c>
      <c r="B51" s="10" t="n">
        <f aca="false">IFERROR(INDEX('⚡ COMMAND TRACKER'!$A$5:$A$204,MATCH(LARGE('⚡ COMMAND TRACKER'!$Y$5:$Y$204,48),'⚡ COMMAND TRACKER'!$Y$5:$Y$204,0)),"")</f>
        <v>0</v>
      </c>
      <c r="C51" s="10" t="n">
        <f aca="false">IFERROR(INDEX('⚡ COMMAND TRACKER'!$E$5:$E$204,MATCH(LARGE('⚡ COMMAND TRACKER'!$Y$5:$Y$204,48),'⚡ COMMAND TRACKER'!$Y$5:$Y$204,0)),"")</f>
        <v>0</v>
      </c>
      <c r="D51" s="30" t="n">
        <f aca="false">IFERROR(INDEX('⚡ COMMAND TRACKER'!$B$5:$B$204,MATCH(LARGE('⚡ COMMAND TRACKER'!$Y$5:$Y$204,48),'⚡ COMMAND TRACKER'!$Y$5:$Y$204,0)),"")</f>
        <v>0</v>
      </c>
      <c r="E51" s="10" t="n">
        <f aca="false">IFERROR(INDEX('⚡ COMMAND TRACKER'!$H$5:$H$204,MATCH(LARGE('⚡ COMMAND TRACKER'!$Y$5:$Y$204,48),'⚡ COMMAND TRACKER'!$Y$5:$Y$204,0)),"")</f>
        <v>0</v>
      </c>
      <c r="F51" s="31" t="n">
        <f aca="false">IFERROR(LARGE('⚡ COMMAND TRACKER'!$Y$5:$Y$204,48),"")</f>
        <v>0</v>
      </c>
      <c r="G51" s="11" t="str">
        <f aca="false">IFERROR(INDEX('⚡ COMMAND TRACKER'!$Z$5:$Z$204,MATCH(LARGE('⚡ COMMAND TRACKER'!$Y$5:$Y$204,48),'⚡ COMMAND TRACKER'!$Y$5:$Y$204,0)),"")</f>
        <v/>
      </c>
      <c r="H51" s="32" t="n">
        <f aca="false">IFERROR(INDEX('⚡ COMMAND TRACKER'!$T$5:$T$204,MATCH(LARGE('⚡ COMMAND TRACKER'!$Y$5:$Y$204,48),'⚡ COMMAND TRACKER'!$Y$5:$Y$204,0)),"")</f>
        <v>0</v>
      </c>
      <c r="I51" s="11" t="n">
        <f aca="false">IFERROR(INDEX('⚡ COMMAND TRACKER'!$U$5:$U$204,MATCH(LARGE('⚡ COMMAND TRACKER'!$Y$5:$Y$204,48),'⚡ COMMAND TRACKER'!$Y$5:$Y$204,0)),"")</f>
        <v>0</v>
      </c>
      <c r="J51" s="10" t="n">
        <f aca="false">IFERROR(INDEX('⚡ COMMAND TRACKER'!$X$5:$X$204,MATCH(LARGE('⚡ COMMAND TRACKER'!$Y$5:$Y$204,48),'⚡ COMMAND TRACKER'!$Y$5:$Y$204,0)),"")</f>
        <v>0</v>
      </c>
      <c r="K51" s="14" t="n">
        <f aca="false">IFERROR(INDEX('⚡ COMMAND TRACKER'!$AC$5:$AC$204,MATCH(LARGE('⚡ COMMAND TRACKER'!$Y$5:$Y$204,48),'⚡ COMMAND TRACKER'!$Y$5:$Y$204,0)),"")</f>
        <v>0</v>
      </c>
      <c r="L51" s="16" t="str">
        <f aca="true">IFERROR(IF(K51="","",K51-TODAY()),"")</f>
        <v/>
      </c>
      <c r="M51" s="10" t="n">
        <f aca="false">IFERROR(INDEX('⚡ COMMAND TRACKER'!$AE$5:$AE$204,MATCH(LARGE('⚡ COMMAND TRACKER'!$Y$5:$Y$204,48),'⚡ COMMAND TRACKER'!$Y$5:$Y$204,0)),"")</f>
        <v>0</v>
      </c>
    </row>
    <row r="52" customFormat="false" ht="19.5" hidden="false" customHeight="true" outlineLevel="0" collapsed="false">
      <c r="A52" s="17" t="str">
        <f aca="false">IFERROR(INDEX('⚡ COMMAND TRACKER'!$AA$5:$AA$204,MATCH(LARGE('⚡ COMMAND TRACKER'!$Y$5:$Y$204,49),'⚡ COMMAND TRACKER'!$Y$5:$Y$204,0)),"")</f>
        <v>⏳ WORKING</v>
      </c>
      <c r="B52" s="17" t="n">
        <f aca="false">IFERROR(INDEX('⚡ COMMAND TRACKER'!$A$5:$A$204,MATCH(LARGE('⚡ COMMAND TRACKER'!$Y$5:$Y$204,49),'⚡ COMMAND TRACKER'!$Y$5:$Y$204,0)),"")</f>
        <v>0</v>
      </c>
      <c r="C52" s="17" t="n">
        <f aca="false">IFERROR(INDEX('⚡ COMMAND TRACKER'!$E$5:$E$204,MATCH(LARGE('⚡ COMMAND TRACKER'!$Y$5:$Y$204,49),'⚡ COMMAND TRACKER'!$Y$5:$Y$204,0)),"")</f>
        <v>0</v>
      </c>
      <c r="D52" s="27" t="n">
        <f aca="false">IFERROR(INDEX('⚡ COMMAND TRACKER'!$B$5:$B$204,MATCH(LARGE('⚡ COMMAND TRACKER'!$Y$5:$Y$204,49),'⚡ COMMAND TRACKER'!$Y$5:$Y$204,0)),"")</f>
        <v>0</v>
      </c>
      <c r="E52" s="17" t="n">
        <f aca="false">IFERROR(INDEX('⚡ COMMAND TRACKER'!$H$5:$H$204,MATCH(LARGE('⚡ COMMAND TRACKER'!$Y$5:$Y$204,49),'⚡ COMMAND TRACKER'!$Y$5:$Y$204,0)),"")</f>
        <v>0</v>
      </c>
      <c r="F52" s="28" t="n">
        <f aca="false">IFERROR(LARGE('⚡ COMMAND TRACKER'!$Y$5:$Y$204,49),"")</f>
        <v>0</v>
      </c>
      <c r="G52" s="18" t="str">
        <f aca="false">IFERROR(INDEX('⚡ COMMAND TRACKER'!$Z$5:$Z$204,MATCH(LARGE('⚡ COMMAND TRACKER'!$Y$5:$Y$204,49),'⚡ COMMAND TRACKER'!$Y$5:$Y$204,0)),"")</f>
        <v/>
      </c>
      <c r="H52" s="29" t="n">
        <f aca="false">IFERROR(INDEX('⚡ COMMAND TRACKER'!$T$5:$T$204,MATCH(LARGE('⚡ COMMAND TRACKER'!$Y$5:$Y$204,49),'⚡ COMMAND TRACKER'!$Y$5:$Y$204,0)),"")</f>
        <v>0</v>
      </c>
      <c r="I52" s="18" t="n">
        <f aca="false">IFERROR(INDEX('⚡ COMMAND TRACKER'!$U$5:$U$204,MATCH(LARGE('⚡ COMMAND TRACKER'!$Y$5:$Y$204,49),'⚡ COMMAND TRACKER'!$Y$5:$Y$204,0)),"")</f>
        <v>0</v>
      </c>
      <c r="J52" s="17" t="n">
        <f aca="false">IFERROR(INDEX('⚡ COMMAND TRACKER'!$X$5:$X$204,MATCH(LARGE('⚡ COMMAND TRACKER'!$Y$5:$Y$204,49),'⚡ COMMAND TRACKER'!$Y$5:$Y$204,0)),"")</f>
        <v>0</v>
      </c>
      <c r="K52" s="21" t="n">
        <f aca="false">IFERROR(INDEX('⚡ COMMAND TRACKER'!$AC$5:$AC$204,MATCH(LARGE('⚡ COMMAND TRACKER'!$Y$5:$Y$204,49),'⚡ COMMAND TRACKER'!$Y$5:$Y$204,0)),"")</f>
        <v>0</v>
      </c>
      <c r="L52" s="23" t="str">
        <f aca="true">IFERROR(IF(K52="","",K52-TODAY()),"")</f>
        <v/>
      </c>
      <c r="M52" s="17" t="n">
        <f aca="false">IFERROR(INDEX('⚡ COMMAND TRACKER'!$AE$5:$AE$204,MATCH(LARGE('⚡ COMMAND TRACKER'!$Y$5:$Y$204,49),'⚡ COMMAND TRACKER'!$Y$5:$Y$204,0)),"")</f>
        <v>0</v>
      </c>
    </row>
    <row r="53" customFormat="false" ht="19.5" hidden="false" customHeight="true" outlineLevel="0" collapsed="false">
      <c r="A53" s="10" t="str">
        <f aca="false">IFERROR(INDEX('⚡ COMMAND TRACKER'!$AA$5:$AA$204,MATCH(LARGE('⚡ COMMAND TRACKER'!$Y$5:$Y$204,50),'⚡ COMMAND TRACKER'!$Y$5:$Y$204,0)),"")</f>
        <v>⏳ WORKING</v>
      </c>
      <c r="B53" s="10" t="n">
        <f aca="false">IFERROR(INDEX('⚡ COMMAND TRACKER'!$A$5:$A$204,MATCH(LARGE('⚡ COMMAND TRACKER'!$Y$5:$Y$204,50),'⚡ COMMAND TRACKER'!$Y$5:$Y$204,0)),"")</f>
        <v>0</v>
      </c>
      <c r="C53" s="10" t="n">
        <f aca="false">IFERROR(INDEX('⚡ COMMAND TRACKER'!$E$5:$E$204,MATCH(LARGE('⚡ COMMAND TRACKER'!$Y$5:$Y$204,50),'⚡ COMMAND TRACKER'!$Y$5:$Y$204,0)),"")</f>
        <v>0</v>
      </c>
      <c r="D53" s="30" t="n">
        <f aca="false">IFERROR(INDEX('⚡ COMMAND TRACKER'!$B$5:$B$204,MATCH(LARGE('⚡ COMMAND TRACKER'!$Y$5:$Y$204,50),'⚡ COMMAND TRACKER'!$Y$5:$Y$204,0)),"")</f>
        <v>0</v>
      </c>
      <c r="E53" s="10" t="n">
        <f aca="false">IFERROR(INDEX('⚡ COMMAND TRACKER'!$H$5:$H$204,MATCH(LARGE('⚡ COMMAND TRACKER'!$Y$5:$Y$204,50),'⚡ COMMAND TRACKER'!$Y$5:$Y$204,0)),"")</f>
        <v>0</v>
      </c>
      <c r="F53" s="31" t="n">
        <f aca="false">IFERROR(LARGE('⚡ COMMAND TRACKER'!$Y$5:$Y$204,50),"")</f>
        <v>0</v>
      </c>
      <c r="G53" s="11" t="str">
        <f aca="false">IFERROR(INDEX('⚡ COMMAND TRACKER'!$Z$5:$Z$204,MATCH(LARGE('⚡ COMMAND TRACKER'!$Y$5:$Y$204,50),'⚡ COMMAND TRACKER'!$Y$5:$Y$204,0)),"")</f>
        <v/>
      </c>
      <c r="H53" s="32" t="n">
        <f aca="false">IFERROR(INDEX('⚡ COMMAND TRACKER'!$T$5:$T$204,MATCH(LARGE('⚡ COMMAND TRACKER'!$Y$5:$Y$204,50),'⚡ COMMAND TRACKER'!$Y$5:$Y$204,0)),"")</f>
        <v>0</v>
      </c>
      <c r="I53" s="11" t="n">
        <f aca="false">IFERROR(INDEX('⚡ COMMAND TRACKER'!$U$5:$U$204,MATCH(LARGE('⚡ COMMAND TRACKER'!$Y$5:$Y$204,50),'⚡ COMMAND TRACKER'!$Y$5:$Y$204,0)),"")</f>
        <v>0</v>
      </c>
      <c r="J53" s="10" t="n">
        <f aca="false">IFERROR(INDEX('⚡ COMMAND TRACKER'!$X$5:$X$204,MATCH(LARGE('⚡ COMMAND TRACKER'!$Y$5:$Y$204,50),'⚡ COMMAND TRACKER'!$Y$5:$Y$204,0)),"")</f>
        <v>0</v>
      </c>
      <c r="K53" s="14" t="n">
        <f aca="false">IFERROR(INDEX('⚡ COMMAND TRACKER'!$AC$5:$AC$204,MATCH(LARGE('⚡ COMMAND TRACKER'!$Y$5:$Y$204,50),'⚡ COMMAND TRACKER'!$Y$5:$Y$204,0)),"")</f>
        <v>0</v>
      </c>
      <c r="L53" s="16" t="str">
        <f aca="true">IFERROR(IF(K53="","",K53-TODAY()),"")</f>
        <v/>
      </c>
      <c r="M53" s="10" t="n">
        <f aca="false">IFERROR(INDEX('⚡ COMMAND TRACKER'!$AE$5:$AE$204,MATCH(LARGE('⚡ COMMAND TRACKER'!$Y$5:$Y$204,50),'⚡ COMMAND TRACKER'!$Y$5:$Y$204,0)),"")</f>
        <v>0</v>
      </c>
    </row>
  </sheetData>
  <mergeCells count="2">
    <mergeCell ref="A1:M1"/>
    <mergeCell ref="A2:M2"/>
  </mergeCells>
  <conditionalFormatting sqref="F4:F53">
    <cfRule type="colorScale" priority="2">
      <colorScale>
        <cfvo type="num" val="0"/>
        <cfvo type="num" val="50"/>
        <cfvo type="num" val="100"/>
        <color rgb="FFEF4444"/>
        <color rgb="FFF59E0B"/>
        <color rgb="FF21E68A"/>
      </colorScale>
    </cfRule>
  </conditionalFormatting>
  <conditionalFormatting sqref="L4:L53">
    <cfRule type="cellIs" priority="3" operator="lessThan" aboveAverage="0" equalAverage="0" bottom="0" percent="0" rank="0" text="" dxfId="0">
      <formula>1</formula>
    </cfRule>
    <cfRule type="cellIs" priority="4" operator="between" aboveAverage="0" equalAverage="0" bottom="0" percent="0" rank="0" text="" dxfId="1">
      <formula>0</formula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K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11" min="9" style="0" width="13"/>
  </cols>
  <sheetData>
    <row r="1" customFormat="false" ht="36" hidden="false" customHeight="true" outlineLevel="0" collapsed="false">
      <c r="A1" s="33" t="s">
        <v>43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customFormat="false" ht="18" hidden="false" customHeight="true" outlineLevel="0" collapsed="false">
      <c r="A2" s="25" t="s">
        <v>44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27.75" hidden="false" customHeight="true" outlineLevel="0" collapsed="false">
      <c r="A3" s="26" t="s">
        <v>45</v>
      </c>
      <c r="B3" s="26" t="s">
        <v>40</v>
      </c>
      <c r="C3" s="26" t="s">
        <v>41</v>
      </c>
      <c r="D3" s="26" t="s">
        <v>8</v>
      </c>
      <c r="E3" s="26" t="s">
        <v>31</v>
      </c>
      <c r="F3" s="26" t="s">
        <v>32</v>
      </c>
      <c r="G3" s="26" t="s">
        <v>27</v>
      </c>
      <c r="H3" s="26" t="s">
        <v>30</v>
      </c>
      <c r="I3" s="26" t="s">
        <v>34</v>
      </c>
      <c r="J3" s="26" t="s">
        <v>35</v>
      </c>
      <c r="K3" s="26" t="s">
        <v>46</v>
      </c>
    </row>
    <row r="4" customFormat="false" ht="19.5" hidden="false" customHeight="true" outlineLevel="0" collapsed="false">
      <c r="A4" s="18" t="str">
        <f aca="true">IFERROR(IF(INDEX('⚡ COMMAND TRACKER'!$AC$5:$AC$204,IFERROR(MATCH(SMALL(IF('⚡ COMMAND TRACKER'!$AC$5:$AC$204&lt;="",9999999,'⚡ COMMAND TRACKER'!$AC$5:$AC$204),1),'⚡ COMMAND TRACKER'!$AC$5:$AC$204,0),""))-TODAY()&lt;0,"🚨 OVERDUE",IF(INDEX('⚡ COMMAND TRACKER'!$AC$5:$AC$204,IFERROR(MATCH(SMALL(IF('⚡ COMMAND TRACKER'!$AC$5:$AC$204&lt;="",9999999,'⚡ COMMAND TRACKER'!$AC$5:$AC$204),1),'⚡ COMMAND TRACKER'!$AC$5:$AC$204,0),""))-TODAY()&lt;=1,"🔔 DUE NOW","📋 UPCOMING")),"")</f>
        <v/>
      </c>
      <c r="B4" s="17" t="str">
        <f aca="false">IFERROR(INDEX('⚡ COMMAND TRACKER'!$A$5:$A$204,IFERROR(MATCH(SMALL(IF('⚡ COMMAND TRACKER'!$AC$5:$AC$204&lt;="",9999999,'⚡ COMMAND TRACKER'!$AC$5:$AC$204),1),'⚡ COMMAND TRACKER'!$AC$5:$AC$204,0),"")),"")</f>
        <v/>
      </c>
      <c r="C4" s="17" t="str">
        <f aca="false">IFERROR(INDEX('⚡ COMMAND TRACKER'!$E$5:$E$204,IFERROR(MATCH(SMALL(IF('⚡ COMMAND TRACKER'!$AC$5:$AC$204&lt;="",9999999,'⚡ COMMAND TRACKER'!$AC$5:$AC$204),1),'⚡ COMMAND TRACKER'!$AC$5:$AC$204,0),"")),"")</f>
        <v/>
      </c>
      <c r="D4" s="27" t="str">
        <f aca="false">IFERROR(INDEX('⚡ COMMAND TRACKER'!$B$5:$B$204,IFERROR(MATCH(SMALL(IF('⚡ COMMAND TRACKER'!$AC$5:$AC$204&lt;="",9999999,'⚡ COMMAND TRACKER'!$AC$5:$AC$204),1),'⚡ COMMAND TRACKER'!$AC$5:$AC$204,0),"")),"")</f>
        <v/>
      </c>
      <c r="E4" s="34" t="str">
        <f aca="false">IFERROR(INDEX('⚡ COMMAND TRACKER'!$Y$5:$Y$204,IFERROR(MATCH(SMALL(IF('⚡ COMMAND TRACKER'!$AC$5:$AC$204&lt;="",9999999,'⚡ COMMAND TRACKER'!$AC$5:$AC$204),1),'⚡ COMMAND TRACKER'!$AC$5:$AC$204,0),"")),"")</f>
        <v/>
      </c>
      <c r="F4" s="18" t="str">
        <f aca="false">IFERROR(INDEX('⚡ COMMAND TRACKER'!$Z$5:$Z$204,IFERROR(MATCH(SMALL(IF('⚡ COMMAND TRACKER'!$AC$5:$AC$204&lt;="",9999999,'⚡ COMMAND TRACKER'!$AC$5:$AC$204),1),'⚡ COMMAND TRACKER'!$AC$5:$AC$204,0),"")),"")</f>
        <v/>
      </c>
      <c r="G4" s="18" t="str">
        <f aca="false">IFERROR(INDEX('⚡ COMMAND TRACKER'!$U$5:$U$204,IFERROR(MATCH(SMALL(IF('⚡ COMMAND TRACKER'!$AC$5:$AC$204&lt;="",9999999,'⚡ COMMAND TRACKER'!$AC$5:$AC$204),1),'⚡ COMMAND TRACKER'!$AC$5:$AC$204,0),"")),"")</f>
        <v/>
      </c>
      <c r="H4" s="17" t="str">
        <f aca="false">IFERROR(INDEX('⚡ COMMAND TRACKER'!$X$5:$X$204,IFERROR(MATCH(SMALL(IF('⚡ COMMAND TRACKER'!$AC$5:$AC$204&lt;="",9999999,'⚡ COMMAND TRACKER'!$AC$5:$AC$204),1),'⚡ COMMAND TRACKER'!$AC$5:$AC$204,0),"")),"")</f>
        <v/>
      </c>
      <c r="I4" s="21" t="str">
        <f aca="false">IFERROR(INDEX('⚡ COMMAND TRACKER'!$AB$5:$AB$204,IFERROR(MATCH(SMALL(IF('⚡ COMMAND TRACKER'!$AC$5:$AC$204&lt;="",9999999,'⚡ COMMAND TRACKER'!$AC$5:$AC$204),1),'⚡ COMMAND TRACKER'!$AC$5:$AC$204,0),"")),"")</f>
        <v/>
      </c>
      <c r="J4" s="21" t="str">
        <f aca="false">IFERROR(INDEX('⚡ COMMAND TRACKER'!$AC$5:$AC$204,IFERROR(MATCH(SMALL(IF('⚡ COMMAND TRACKER'!$AC$5:$AC$204&lt;="",9999999,'⚡ COMMAND TRACKER'!$AC$5:$AC$204),1),'⚡ COMMAND TRACKER'!$AC$5:$AC$204,0),"")),"")</f>
        <v/>
      </c>
      <c r="K4" s="23" t="str">
        <f aca="true">IFERROR(IF(J4="","",TODAY()-J4),"")</f>
        <v/>
      </c>
    </row>
    <row r="5" customFormat="false" ht="19.5" hidden="false" customHeight="true" outlineLevel="0" collapsed="false">
      <c r="A5" s="11" t="str">
        <f aca="true">IFERROR(IF(INDEX('⚡ COMMAND TRACKER'!$AC$5:$AC$204,IFERROR(MATCH(SMALL(IF('⚡ COMMAND TRACKER'!$AC$5:$AC$204&lt;="",9999999,'⚡ COMMAND TRACKER'!$AC$5:$AC$204),2),'⚡ COMMAND TRACKER'!$AC$5:$AC$204,0),""))-TODAY()&lt;0,"🚨 OVERDUE",IF(INDEX('⚡ COMMAND TRACKER'!$AC$5:$AC$204,IFERROR(MATCH(SMALL(IF('⚡ COMMAND TRACKER'!$AC$5:$AC$204&lt;="",9999999,'⚡ COMMAND TRACKER'!$AC$5:$AC$204),2),'⚡ COMMAND TRACKER'!$AC$5:$AC$204,0),""))-TODAY()&lt;=1,"🔔 DUE NOW","📋 UPCOMING")),"")</f>
        <v/>
      </c>
      <c r="B5" s="10" t="str">
        <f aca="false">IFERROR(INDEX('⚡ COMMAND TRACKER'!$A$5:$A$204,IFERROR(MATCH(SMALL(IF('⚡ COMMAND TRACKER'!$AC$5:$AC$204&lt;="",9999999,'⚡ COMMAND TRACKER'!$AC$5:$AC$204),2),'⚡ COMMAND TRACKER'!$AC$5:$AC$204,0),"")),"")</f>
        <v/>
      </c>
      <c r="C5" s="10" t="str">
        <f aca="false">IFERROR(INDEX('⚡ COMMAND TRACKER'!$E$5:$E$204,IFERROR(MATCH(SMALL(IF('⚡ COMMAND TRACKER'!$AC$5:$AC$204&lt;="",9999999,'⚡ COMMAND TRACKER'!$AC$5:$AC$204),2),'⚡ COMMAND TRACKER'!$AC$5:$AC$204,0),"")),"")</f>
        <v/>
      </c>
      <c r="D5" s="30" t="str">
        <f aca="false">IFERROR(INDEX('⚡ COMMAND TRACKER'!$B$5:$B$204,IFERROR(MATCH(SMALL(IF('⚡ COMMAND TRACKER'!$AC$5:$AC$204&lt;="",9999999,'⚡ COMMAND TRACKER'!$AC$5:$AC$204),2),'⚡ COMMAND TRACKER'!$AC$5:$AC$204,0),"")),"")</f>
        <v/>
      </c>
      <c r="E5" s="35" t="str">
        <f aca="false">IFERROR(INDEX('⚡ COMMAND TRACKER'!$Y$5:$Y$204,IFERROR(MATCH(SMALL(IF('⚡ COMMAND TRACKER'!$AC$5:$AC$204&lt;="",9999999,'⚡ COMMAND TRACKER'!$AC$5:$AC$204),2),'⚡ COMMAND TRACKER'!$AC$5:$AC$204,0),"")),"")</f>
        <v/>
      </c>
      <c r="F5" s="11" t="str">
        <f aca="false">IFERROR(INDEX('⚡ COMMAND TRACKER'!$Z$5:$Z$204,IFERROR(MATCH(SMALL(IF('⚡ COMMAND TRACKER'!$AC$5:$AC$204&lt;="",9999999,'⚡ COMMAND TRACKER'!$AC$5:$AC$204),2),'⚡ COMMAND TRACKER'!$AC$5:$AC$204,0),"")),"")</f>
        <v/>
      </c>
      <c r="G5" s="11" t="str">
        <f aca="false">IFERROR(INDEX('⚡ COMMAND TRACKER'!$U$5:$U$204,IFERROR(MATCH(SMALL(IF('⚡ COMMAND TRACKER'!$AC$5:$AC$204&lt;="",9999999,'⚡ COMMAND TRACKER'!$AC$5:$AC$204),2),'⚡ COMMAND TRACKER'!$AC$5:$AC$204,0),"")),"")</f>
        <v/>
      </c>
      <c r="H5" s="10" t="str">
        <f aca="false">IFERROR(INDEX('⚡ COMMAND TRACKER'!$X$5:$X$204,IFERROR(MATCH(SMALL(IF('⚡ COMMAND TRACKER'!$AC$5:$AC$204&lt;="",9999999,'⚡ COMMAND TRACKER'!$AC$5:$AC$204),2),'⚡ COMMAND TRACKER'!$AC$5:$AC$204,0),"")),"")</f>
        <v/>
      </c>
      <c r="I5" s="14" t="str">
        <f aca="false">IFERROR(INDEX('⚡ COMMAND TRACKER'!$AB$5:$AB$204,IFERROR(MATCH(SMALL(IF('⚡ COMMAND TRACKER'!$AC$5:$AC$204&lt;="",9999999,'⚡ COMMAND TRACKER'!$AC$5:$AC$204),2),'⚡ COMMAND TRACKER'!$AC$5:$AC$204,0),"")),"")</f>
        <v/>
      </c>
      <c r="J5" s="14" t="str">
        <f aca="false">IFERROR(INDEX('⚡ COMMAND TRACKER'!$AC$5:$AC$204,IFERROR(MATCH(SMALL(IF('⚡ COMMAND TRACKER'!$AC$5:$AC$204&lt;="",9999999,'⚡ COMMAND TRACKER'!$AC$5:$AC$204),2),'⚡ COMMAND TRACKER'!$AC$5:$AC$204,0),"")),"")</f>
        <v/>
      </c>
      <c r="K5" s="16" t="str">
        <f aca="true">IFERROR(IF(J5="","",TODAY()-J5),"")</f>
        <v/>
      </c>
    </row>
    <row r="6" customFormat="false" ht="19.5" hidden="false" customHeight="true" outlineLevel="0" collapsed="false">
      <c r="A6" s="18" t="str">
        <f aca="true">IFERROR(IF(INDEX('⚡ COMMAND TRACKER'!$AC$5:$AC$204,IFERROR(MATCH(SMALL(IF('⚡ COMMAND TRACKER'!$AC$5:$AC$204&lt;="",9999999,'⚡ COMMAND TRACKER'!$AC$5:$AC$204),3),'⚡ COMMAND TRACKER'!$AC$5:$AC$204,0),""))-TODAY()&lt;0,"🚨 OVERDUE",IF(INDEX('⚡ COMMAND TRACKER'!$AC$5:$AC$204,IFERROR(MATCH(SMALL(IF('⚡ COMMAND TRACKER'!$AC$5:$AC$204&lt;="",9999999,'⚡ COMMAND TRACKER'!$AC$5:$AC$204),3),'⚡ COMMAND TRACKER'!$AC$5:$AC$204,0),""))-TODAY()&lt;=1,"🔔 DUE NOW","📋 UPCOMING")),"")</f>
        <v/>
      </c>
      <c r="B6" s="17" t="str">
        <f aca="false">IFERROR(INDEX('⚡ COMMAND TRACKER'!$A$5:$A$204,IFERROR(MATCH(SMALL(IF('⚡ COMMAND TRACKER'!$AC$5:$AC$204&lt;="",9999999,'⚡ COMMAND TRACKER'!$AC$5:$AC$204),3),'⚡ COMMAND TRACKER'!$AC$5:$AC$204,0),"")),"")</f>
        <v/>
      </c>
      <c r="C6" s="17" t="str">
        <f aca="false">IFERROR(INDEX('⚡ COMMAND TRACKER'!$E$5:$E$204,IFERROR(MATCH(SMALL(IF('⚡ COMMAND TRACKER'!$AC$5:$AC$204&lt;="",9999999,'⚡ COMMAND TRACKER'!$AC$5:$AC$204),3),'⚡ COMMAND TRACKER'!$AC$5:$AC$204,0),"")),"")</f>
        <v/>
      </c>
      <c r="D6" s="27" t="str">
        <f aca="false">IFERROR(INDEX('⚡ COMMAND TRACKER'!$B$5:$B$204,IFERROR(MATCH(SMALL(IF('⚡ COMMAND TRACKER'!$AC$5:$AC$204&lt;="",9999999,'⚡ COMMAND TRACKER'!$AC$5:$AC$204),3),'⚡ COMMAND TRACKER'!$AC$5:$AC$204,0),"")),"")</f>
        <v/>
      </c>
      <c r="E6" s="34" t="str">
        <f aca="false">IFERROR(INDEX('⚡ COMMAND TRACKER'!$Y$5:$Y$204,IFERROR(MATCH(SMALL(IF('⚡ COMMAND TRACKER'!$AC$5:$AC$204&lt;="",9999999,'⚡ COMMAND TRACKER'!$AC$5:$AC$204),3),'⚡ COMMAND TRACKER'!$AC$5:$AC$204,0),"")),"")</f>
        <v/>
      </c>
      <c r="F6" s="18" t="str">
        <f aca="false">IFERROR(INDEX('⚡ COMMAND TRACKER'!$Z$5:$Z$204,IFERROR(MATCH(SMALL(IF('⚡ COMMAND TRACKER'!$AC$5:$AC$204&lt;="",9999999,'⚡ COMMAND TRACKER'!$AC$5:$AC$204),3),'⚡ COMMAND TRACKER'!$AC$5:$AC$204,0),"")),"")</f>
        <v/>
      </c>
      <c r="G6" s="18" t="str">
        <f aca="false">IFERROR(INDEX('⚡ COMMAND TRACKER'!$U$5:$U$204,IFERROR(MATCH(SMALL(IF('⚡ COMMAND TRACKER'!$AC$5:$AC$204&lt;="",9999999,'⚡ COMMAND TRACKER'!$AC$5:$AC$204),3),'⚡ COMMAND TRACKER'!$AC$5:$AC$204,0),"")),"")</f>
        <v/>
      </c>
      <c r="H6" s="17" t="str">
        <f aca="false">IFERROR(INDEX('⚡ COMMAND TRACKER'!$X$5:$X$204,IFERROR(MATCH(SMALL(IF('⚡ COMMAND TRACKER'!$AC$5:$AC$204&lt;="",9999999,'⚡ COMMAND TRACKER'!$AC$5:$AC$204),3),'⚡ COMMAND TRACKER'!$AC$5:$AC$204,0),"")),"")</f>
        <v/>
      </c>
      <c r="I6" s="21" t="str">
        <f aca="false">IFERROR(INDEX('⚡ COMMAND TRACKER'!$AB$5:$AB$204,IFERROR(MATCH(SMALL(IF('⚡ COMMAND TRACKER'!$AC$5:$AC$204&lt;="",9999999,'⚡ COMMAND TRACKER'!$AC$5:$AC$204),3),'⚡ COMMAND TRACKER'!$AC$5:$AC$204,0),"")),"")</f>
        <v/>
      </c>
      <c r="J6" s="21" t="str">
        <f aca="false">IFERROR(INDEX('⚡ COMMAND TRACKER'!$AC$5:$AC$204,IFERROR(MATCH(SMALL(IF('⚡ COMMAND TRACKER'!$AC$5:$AC$204&lt;="",9999999,'⚡ COMMAND TRACKER'!$AC$5:$AC$204),3),'⚡ COMMAND TRACKER'!$AC$5:$AC$204,0),"")),"")</f>
        <v/>
      </c>
      <c r="K6" s="23" t="str">
        <f aca="true">IFERROR(IF(J6="","",TODAY()-J6),"")</f>
        <v/>
      </c>
    </row>
    <row r="7" customFormat="false" ht="19.5" hidden="false" customHeight="true" outlineLevel="0" collapsed="false">
      <c r="A7" s="11" t="str">
        <f aca="true">IFERROR(IF(INDEX('⚡ COMMAND TRACKER'!$AC$5:$AC$204,IFERROR(MATCH(SMALL(IF('⚡ COMMAND TRACKER'!$AC$5:$AC$204&lt;="",9999999,'⚡ COMMAND TRACKER'!$AC$5:$AC$204),4),'⚡ COMMAND TRACKER'!$AC$5:$AC$204,0),""))-TODAY()&lt;0,"🚨 OVERDUE",IF(INDEX('⚡ COMMAND TRACKER'!$AC$5:$AC$204,IFERROR(MATCH(SMALL(IF('⚡ COMMAND TRACKER'!$AC$5:$AC$204&lt;="",9999999,'⚡ COMMAND TRACKER'!$AC$5:$AC$204),4),'⚡ COMMAND TRACKER'!$AC$5:$AC$204,0),""))-TODAY()&lt;=1,"🔔 DUE NOW","📋 UPCOMING")),"")</f>
        <v/>
      </c>
      <c r="B7" s="10" t="str">
        <f aca="false">IFERROR(INDEX('⚡ COMMAND TRACKER'!$A$5:$A$204,IFERROR(MATCH(SMALL(IF('⚡ COMMAND TRACKER'!$AC$5:$AC$204&lt;="",9999999,'⚡ COMMAND TRACKER'!$AC$5:$AC$204),4),'⚡ COMMAND TRACKER'!$AC$5:$AC$204,0),"")),"")</f>
        <v/>
      </c>
      <c r="C7" s="10" t="str">
        <f aca="false">IFERROR(INDEX('⚡ COMMAND TRACKER'!$E$5:$E$204,IFERROR(MATCH(SMALL(IF('⚡ COMMAND TRACKER'!$AC$5:$AC$204&lt;="",9999999,'⚡ COMMAND TRACKER'!$AC$5:$AC$204),4),'⚡ COMMAND TRACKER'!$AC$5:$AC$204,0),"")),"")</f>
        <v/>
      </c>
      <c r="D7" s="30" t="str">
        <f aca="false">IFERROR(INDEX('⚡ COMMAND TRACKER'!$B$5:$B$204,IFERROR(MATCH(SMALL(IF('⚡ COMMAND TRACKER'!$AC$5:$AC$204&lt;="",9999999,'⚡ COMMAND TRACKER'!$AC$5:$AC$204),4),'⚡ COMMAND TRACKER'!$AC$5:$AC$204,0),"")),"")</f>
        <v/>
      </c>
      <c r="E7" s="35" t="str">
        <f aca="false">IFERROR(INDEX('⚡ COMMAND TRACKER'!$Y$5:$Y$204,IFERROR(MATCH(SMALL(IF('⚡ COMMAND TRACKER'!$AC$5:$AC$204&lt;="",9999999,'⚡ COMMAND TRACKER'!$AC$5:$AC$204),4),'⚡ COMMAND TRACKER'!$AC$5:$AC$204,0),"")),"")</f>
        <v/>
      </c>
      <c r="F7" s="11" t="str">
        <f aca="false">IFERROR(INDEX('⚡ COMMAND TRACKER'!$Z$5:$Z$204,IFERROR(MATCH(SMALL(IF('⚡ COMMAND TRACKER'!$AC$5:$AC$204&lt;="",9999999,'⚡ COMMAND TRACKER'!$AC$5:$AC$204),4),'⚡ COMMAND TRACKER'!$AC$5:$AC$204,0),"")),"")</f>
        <v/>
      </c>
      <c r="G7" s="11" t="str">
        <f aca="false">IFERROR(INDEX('⚡ COMMAND TRACKER'!$U$5:$U$204,IFERROR(MATCH(SMALL(IF('⚡ COMMAND TRACKER'!$AC$5:$AC$204&lt;="",9999999,'⚡ COMMAND TRACKER'!$AC$5:$AC$204),4),'⚡ COMMAND TRACKER'!$AC$5:$AC$204,0),"")),"")</f>
        <v/>
      </c>
      <c r="H7" s="10" t="str">
        <f aca="false">IFERROR(INDEX('⚡ COMMAND TRACKER'!$X$5:$X$204,IFERROR(MATCH(SMALL(IF('⚡ COMMAND TRACKER'!$AC$5:$AC$204&lt;="",9999999,'⚡ COMMAND TRACKER'!$AC$5:$AC$204),4),'⚡ COMMAND TRACKER'!$AC$5:$AC$204,0),"")),"")</f>
        <v/>
      </c>
      <c r="I7" s="14" t="str">
        <f aca="false">IFERROR(INDEX('⚡ COMMAND TRACKER'!$AB$5:$AB$204,IFERROR(MATCH(SMALL(IF('⚡ COMMAND TRACKER'!$AC$5:$AC$204&lt;="",9999999,'⚡ COMMAND TRACKER'!$AC$5:$AC$204),4),'⚡ COMMAND TRACKER'!$AC$5:$AC$204,0),"")),"")</f>
        <v/>
      </c>
      <c r="J7" s="14" t="str">
        <f aca="false">IFERROR(INDEX('⚡ COMMAND TRACKER'!$AC$5:$AC$204,IFERROR(MATCH(SMALL(IF('⚡ COMMAND TRACKER'!$AC$5:$AC$204&lt;="",9999999,'⚡ COMMAND TRACKER'!$AC$5:$AC$204),4),'⚡ COMMAND TRACKER'!$AC$5:$AC$204,0),"")),"")</f>
        <v/>
      </c>
      <c r="K7" s="16" t="str">
        <f aca="true">IFERROR(IF(J7="","",TODAY()-J7),"")</f>
        <v/>
      </c>
    </row>
    <row r="8" customFormat="false" ht="19.5" hidden="false" customHeight="true" outlineLevel="0" collapsed="false">
      <c r="A8" s="18" t="str">
        <f aca="true">IFERROR(IF(INDEX('⚡ COMMAND TRACKER'!$AC$5:$AC$204,IFERROR(MATCH(SMALL(IF('⚡ COMMAND TRACKER'!$AC$5:$AC$204&lt;="",9999999,'⚡ COMMAND TRACKER'!$AC$5:$AC$204),5),'⚡ COMMAND TRACKER'!$AC$5:$AC$204,0),""))-TODAY()&lt;0,"🚨 OVERDUE",IF(INDEX('⚡ COMMAND TRACKER'!$AC$5:$AC$204,IFERROR(MATCH(SMALL(IF('⚡ COMMAND TRACKER'!$AC$5:$AC$204&lt;="",9999999,'⚡ COMMAND TRACKER'!$AC$5:$AC$204),5),'⚡ COMMAND TRACKER'!$AC$5:$AC$204,0),""))-TODAY()&lt;=1,"🔔 DUE NOW","📋 UPCOMING")),"")</f>
        <v/>
      </c>
      <c r="B8" s="17" t="str">
        <f aca="false">IFERROR(INDEX('⚡ COMMAND TRACKER'!$A$5:$A$204,IFERROR(MATCH(SMALL(IF('⚡ COMMAND TRACKER'!$AC$5:$AC$204&lt;="",9999999,'⚡ COMMAND TRACKER'!$AC$5:$AC$204),5),'⚡ COMMAND TRACKER'!$AC$5:$AC$204,0),"")),"")</f>
        <v/>
      </c>
      <c r="C8" s="17" t="str">
        <f aca="false">IFERROR(INDEX('⚡ COMMAND TRACKER'!$E$5:$E$204,IFERROR(MATCH(SMALL(IF('⚡ COMMAND TRACKER'!$AC$5:$AC$204&lt;="",9999999,'⚡ COMMAND TRACKER'!$AC$5:$AC$204),5),'⚡ COMMAND TRACKER'!$AC$5:$AC$204,0),"")),"")</f>
        <v/>
      </c>
      <c r="D8" s="27" t="str">
        <f aca="false">IFERROR(INDEX('⚡ COMMAND TRACKER'!$B$5:$B$204,IFERROR(MATCH(SMALL(IF('⚡ COMMAND TRACKER'!$AC$5:$AC$204&lt;="",9999999,'⚡ COMMAND TRACKER'!$AC$5:$AC$204),5),'⚡ COMMAND TRACKER'!$AC$5:$AC$204,0),"")),"")</f>
        <v/>
      </c>
      <c r="E8" s="34" t="str">
        <f aca="false">IFERROR(INDEX('⚡ COMMAND TRACKER'!$Y$5:$Y$204,IFERROR(MATCH(SMALL(IF('⚡ COMMAND TRACKER'!$AC$5:$AC$204&lt;="",9999999,'⚡ COMMAND TRACKER'!$AC$5:$AC$204),5),'⚡ COMMAND TRACKER'!$AC$5:$AC$204,0),"")),"")</f>
        <v/>
      </c>
      <c r="F8" s="18" t="str">
        <f aca="false">IFERROR(INDEX('⚡ COMMAND TRACKER'!$Z$5:$Z$204,IFERROR(MATCH(SMALL(IF('⚡ COMMAND TRACKER'!$AC$5:$AC$204&lt;="",9999999,'⚡ COMMAND TRACKER'!$AC$5:$AC$204),5),'⚡ COMMAND TRACKER'!$AC$5:$AC$204,0),"")),"")</f>
        <v/>
      </c>
      <c r="G8" s="18" t="str">
        <f aca="false">IFERROR(INDEX('⚡ COMMAND TRACKER'!$U$5:$U$204,IFERROR(MATCH(SMALL(IF('⚡ COMMAND TRACKER'!$AC$5:$AC$204&lt;="",9999999,'⚡ COMMAND TRACKER'!$AC$5:$AC$204),5),'⚡ COMMAND TRACKER'!$AC$5:$AC$204,0),"")),"")</f>
        <v/>
      </c>
      <c r="H8" s="17" t="str">
        <f aca="false">IFERROR(INDEX('⚡ COMMAND TRACKER'!$X$5:$X$204,IFERROR(MATCH(SMALL(IF('⚡ COMMAND TRACKER'!$AC$5:$AC$204&lt;="",9999999,'⚡ COMMAND TRACKER'!$AC$5:$AC$204),5),'⚡ COMMAND TRACKER'!$AC$5:$AC$204,0),"")),"")</f>
        <v/>
      </c>
      <c r="I8" s="21" t="str">
        <f aca="false">IFERROR(INDEX('⚡ COMMAND TRACKER'!$AB$5:$AB$204,IFERROR(MATCH(SMALL(IF('⚡ COMMAND TRACKER'!$AC$5:$AC$204&lt;="",9999999,'⚡ COMMAND TRACKER'!$AC$5:$AC$204),5),'⚡ COMMAND TRACKER'!$AC$5:$AC$204,0),"")),"")</f>
        <v/>
      </c>
      <c r="J8" s="21" t="str">
        <f aca="false">IFERROR(INDEX('⚡ COMMAND TRACKER'!$AC$5:$AC$204,IFERROR(MATCH(SMALL(IF('⚡ COMMAND TRACKER'!$AC$5:$AC$204&lt;="",9999999,'⚡ COMMAND TRACKER'!$AC$5:$AC$204),5),'⚡ COMMAND TRACKER'!$AC$5:$AC$204,0),"")),"")</f>
        <v/>
      </c>
      <c r="K8" s="23" t="str">
        <f aca="true">IFERROR(IF(J8="","",TODAY()-J8),"")</f>
        <v/>
      </c>
    </row>
    <row r="9" customFormat="false" ht="19.5" hidden="false" customHeight="true" outlineLevel="0" collapsed="false">
      <c r="A9" s="11" t="str">
        <f aca="true">IFERROR(IF(INDEX('⚡ COMMAND TRACKER'!$AC$5:$AC$204,IFERROR(MATCH(SMALL(IF('⚡ COMMAND TRACKER'!$AC$5:$AC$204&lt;="",9999999,'⚡ COMMAND TRACKER'!$AC$5:$AC$204),6),'⚡ COMMAND TRACKER'!$AC$5:$AC$204,0),""))-TODAY()&lt;0,"🚨 OVERDUE",IF(INDEX('⚡ COMMAND TRACKER'!$AC$5:$AC$204,IFERROR(MATCH(SMALL(IF('⚡ COMMAND TRACKER'!$AC$5:$AC$204&lt;="",9999999,'⚡ COMMAND TRACKER'!$AC$5:$AC$204),6),'⚡ COMMAND TRACKER'!$AC$5:$AC$204,0),""))-TODAY()&lt;=1,"🔔 DUE NOW","📋 UPCOMING")),"")</f>
        <v/>
      </c>
      <c r="B9" s="10" t="str">
        <f aca="false">IFERROR(INDEX('⚡ COMMAND TRACKER'!$A$5:$A$204,IFERROR(MATCH(SMALL(IF('⚡ COMMAND TRACKER'!$AC$5:$AC$204&lt;="",9999999,'⚡ COMMAND TRACKER'!$AC$5:$AC$204),6),'⚡ COMMAND TRACKER'!$AC$5:$AC$204,0),"")),"")</f>
        <v/>
      </c>
      <c r="C9" s="10" t="str">
        <f aca="false">IFERROR(INDEX('⚡ COMMAND TRACKER'!$E$5:$E$204,IFERROR(MATCH(SMALL(IF('⚡ COMMAND TRACKER'!$AC$5:$AC$204&lt;="",9999999,'⚡ COMMAND TRACKER'!$AC$5:$AC$204),6),'⚡ COMMAND TRACKER'!$AC$5:$AC$204,0),"")),"")</f>
        <v/>
      </c>
      <c r="D9" s="30" t="str">
        <f aca="false">IFERROR(INDEX('⚡ COMMAND TRACKER'!$B$5:$B$204,IFERROR(MATCH(SMALL(IF('⚡ COMMAND TRACKER'!$AC$5:$AC$204&lt;="",9999999,'⚡ COMMAND TRACKER'!$AC$5:$AC$204),6),'⚡ COMMAND TRACKER'!$AC$5:$AC$204,0),"")),"")</f>
        <v/>
      </c>
      <c r="E9" s="35" t="str">
        <f aca="false">IFERROR(INDEX('⚡ COMMAND TRACKER'!$Y$5:$Y$204,IFERROR(MATCH(SMALL(IF('⚡ COMMAND TRACKER'!$AC$5:$AC$204&lt;="",9999999,'⚡ COMMAND TRACKER'!$AC$5:$AC$204),6),'⚡ COMMAND TRACKER'!$AC$5:$AC$204,0),"")),"")</f>
        <v/>
      </c>
      <c r="F9" s="11" t="str">
        <f aca="false">IFERROR(INDEX('⚡ COMMAND TRACKER'!$Z$5:$Z$204,IFERROR(MATCH(SMALL(IF('⚡ COMMAND TRACKER'!$AC$5:$AC$204&lt;="",9999999,'⚡ COMMAND TRACKER'!$AC$5:$AC$204),6),'⚡ COMMAND TRACKER'!$AC$5:$AC$204,0),"")),"")</f>
        <v/>
      </c>
      <c r="G9" s="11" t="str">
        <f aca="false">IFERROR(INDEX('⚡ COMMAND TRACKER'!$U$5:$U$204,IFERROR(MATCH(SMALL(IF('⚡ COMMAND TRACKER'!$AC$5:$AC$204&lt;="",9999999,'⚡ COMMAND TRACKER'!$AC$5:$AC$204),6),'⚡ COMMAND TRACKER'!$AC$5:$AC$204,0),"")),"")</f>
        <v/>
      </c>
      <c r="H9" s="10" t="str">
        <f aca="false">IFERROR(INDEX('⚡ COMMAND TRACKER'!$X$5:$X$204,IFERROR(MATCH(SMALL(IF('⚡ COMMAND TRACKER'!$AC$5:$AC$204&lt;="",9999999,'⚡ COMMAND TRACKER'!$AC$5:$AC$204),6),'⚡ COMMAND TRACKER'!$AC$5:$AC$204,0),"")),"")</f>
        <v/>
      </c>
      <c r="I9" s="14" t="str">
        <f aca="false">IFERROR(INDEX('⚡ COMMAND TRACKER'!$AB$5:$AB$204,IFERROR(MATCH(SMALL(IF('⚡ COMMAND TRACKER'!$AC$5:$AC$204&lt;="",9999999,'⚡ COMMAND TRACKER'!$AC$5:$AC$204),6),'⚡ COMMAND TRACKER'!$AC$5:$AC$204,0),"")),"")</f>
        <v/>
      </c>
      <c r="J9" s="14" t="str">
        <f aca="false">IFERROR(INDEX('⚡ COMMAND TRACKER'!$AC$5:$AC$204,IFERROR(MATCH(SMALL(IF('⚡ COMMAND TRACKER'!$AC$5:$AC$204&lt;="",9999999,'⚡ COMMAND TRACKER'!$AC$5:$AC$204),6),'⚡ COMMAND TRACKER'!$AC$5:$AC$204,0),"")),"")</f>
        <v/>
      </c>
      <c r="K9" s="16" t="str">
        <f aca="true">IFERROR(IF(J9="","",TODAY()-J9),"")</f>
        <v/>
      </c>
    </row>
    <row r="10" customFormat="false" ht="19.5" hidden="false" customHeight="true" outlineLevel="0" collapsed="false">
      <c r="A10" s="18" t="str">
        <f aca="true">IFERROR(IF(INDEX('⚡ COMMAND TRACKER'!$AC$5:$AC$204,IFERROR(MATCH(SMALL(IF('⚡ COMMAND TRACKER'!$AC$5:$AC$204&lt;="",9999999,'⚡ COMMAND TRACKER'!$AC$5:$AC$204),7),'⚡ COMMAND TRACKER'!$AC$5:$AC$204,0),""))-TODAY()&lt;0,"🚨 OVERDUE",IF(INDEX('⚡ COMMAND TRACKER'!$AC$5:$AC$204,IFERROR(MATCH(SMALL(IF('⚡ COMMAND TRACKER'!$AC$5:$AC$204&lt;="",9999999,'⚡ COMMAND TRACKER'!$AC$5:$AC$204),7),'⚡ COMMAND TRACKER'!$AC$5:$AC$204,0),""))-TODAY()&lt;=1,"🔔 DUE NOW","📋 UPCOMING")),"")</f>
        <v/>
      </c>
      <c r="B10" s="17" t="str">
        <f aca="false">IFERROR(INDEX('⚡ COMMAND TRACKER'!$A$5:$A$204,IFERROR(MATCH(SMALL(IF('⚡ COMMAND TRACKER'!$AC$5:$AC$204&lt;="",9999999,'⚡ COMMAND TRACKER'!$AC$5:$AC$204),7),'⚡ COMMAND TRACKER'!$AC$5:$AC$204,0),"")),"")</f>
        <v/>
      </c>
      <c r="C10" s="17" t="str">
        <f aca="false">IFERROR(INDEX('⚡ COMMAND TRACKER'!$E$5:$E$204,IFERROR(MATCH(SMALL(IF('⚡ COMMAND TRACKER'!$AC$5:$AC$204&lt;="",9999999,'⚡ COMMAND TRACKER'!$AC$5:$AC$204),7),'⚡ COMMAND TRACKER'!$AC$5:$AC$204,0),"")),"")</f>
        <v/>
      </c>
      <c r="D10" s="27" t="str">
        <f aca="false">IFERROR(INDEX('⚡ COMMAND TRACKER'!$B$5:$B$204,IFERROR(MATCH(SMALL(IF('⚡ COMMAND TRACKER'!$AC$5:$AC$204&lt;="",9999999,'⚡ COMMAND TRACKER'!$AC$5:$AC$204),7),'⚡ COMMAND TRACKER'!$AC$5:$AC$204,0),"")),"")</f>
        <v/>
      </c>
      <c r="E10" s="34" t="str">
        <f aca="false">IFERROR(INDEX('⚡ COMMAND TRACKER'!$Y$5:$Y$204,IFERROR(MATCH(SMALL(IF('⚡ COMMAND TRACKER'!$AC$5:$AC$204&lt;="",9999999,'⚡ COMMAND TRACKER'!$AC$5:$AC$204),7),'⚡ COMMAND TRACKER'!$AC$5:$AC$204,0),"")),"")</f>
        <v/>
      </c>
      <c r="F10" s="18" t="str">
        <f aca="false">IFERROR(INDEX('⚡ COMMAND TRACKER'!$Z$5:$Z$204,IFERROR(MATCH(SMALL(IF('⚡ COMMAND TRACKER'!$AC$5:$AC$204&lt;="",9999999,'⚡ COMMAND TRACKER'!$AC$5:$AC$204),7),'⚡ COMMAND TRACKER'!$AC$5:$AC$204,0),"")),"")</f>
        <v/>
      </c>
      <c r="G10" s="18" t="str">
        <f aca="false">IFERROR(INDEX('⚡ COMMAND TRACKER'!$U$5:$U$204,IFERROR(MATCH(SMALL(IF('⚡ COMMAND TRACKER'!$AC$5:$AC$204&lt;="",9999999,'⚡ COMMAND TRACKER'!$AC$5:$AC$204),7),'⚡ COMMAND TRACKER'!$AC$5:$AC$204,0),"")),"")</f>
        <v/>
      </c>
      <c r="H10" s="17" t="str">
        <f aca="false">IFERROR(INDEX('⚡ COMMAND TRACKER'!$X$5:$X$204,IFERROR(MATCH(SMALL(IF('⚡ COMMAND TRACKER'!$AC$5:$AC$204&lt;="",9999999,'⚡ COMMAND TRACKER'!$AC$5:$AC$204),7),'⚡ COMMAND TRACKER'!$AC$5:$AC$204,0),"")),"")</f>
        <v/>
      </c>
      <c r="I10" s="21" t="str">
        <f aca="false">IFERROR(INDEX('⚡ COMMAND TRACKER'!$AB$5:$AB$204,IFERROR(MATCH(SMALL(IF('⚡ COMMAND TRACKER'!$AC$5:$AC$204&lt;="",9999999,'⚡ COMMAND TRACKER'!$AC$5:$AC$204),7),'⚡ COMMAND TRACKER'!$AC$5:$AC$204,0),"")),"")</f>
        <v/>
      </c>
      <c r="J10" s="21" t="str">
        <f aca="false">IFERROR(INDEX('⚡ COMMAND TRACKER'!$AC$5:$AC$204,IFERROR(MATCH(SMALL(IF('⚡ COMMAND TRACKER'!$AC$5:$AC$204&lt;="",9999999,'⚡ COMMAND TRACKER'!$AC$5:$AC$204),7),'⚡ COMMAND TRACKER'!$AC$5:$AC$204,0),"")),"")</f>
        <v/>
      </c>
      <c r="K10" s="23" t="str">
        <f aca="true">IFERROR(IF(J10="","",TODAY()-J10),"")</f>
        <v/>
      </c>
    </row>
    <row r="11" customFormat="false" ht="19.5" hidden="false" customHeight="true" outlineLevel="0" collapsed="false">
      <c r="A11" s="11" t="str">
        <f aca="true">IFERROR(IF(INDEX('⚡ COMMAND TRACKER'!$AC$5:$AC$204,IFERROR(MATCH(SMALL(IF('⚡ COMMAND TRACKER'!$AC$5:$AC$204&lt;="",9999999,'⚡ COMMAND TRACKER'!$AC$5:$AC$204),8),'⚡ COMMAND TRACKER'!$AC$5:$AC$204,0),""))-TODAY()&lt;0,"🚨 OVERDUE",IF(INDEX('⚡ COMMAND TRACKER'!$AC$5:$AC$204,IFERROR(MATCH(SMALL(IF('⚡ COMMAND TRACKER'!$AC$5:$AC$204&lt;="",9999999,'⚡ COMMAND TRACKER'!$AC$5:$AC$204),8),'⚡ COMMAND TRACKER'!$AC$5:$AC$204,0),""))-TODAY()&lt;=1,"🔔 DUE NOW","📋 UPCOMING")),"")</f>
        <v/>
      </c>
      <c r="B11" s="10" t="str">
        <f aca="false">IFERROR(INDEX('⚡ COMMAND TRACKER'!$A$5:$A$204,IFERROR(MATCH(SMALL(IF('⚡ COMMAND TRACKER'!$AC$5:$AC$204&lt;="",9999999,'⚡ COMMAND TRACKER'!$AC$5:$AC$204),8),'⚡ COMMAND TRACKER'!$AC$5:$AC$204,0),"")),"")</f>
        <v/>
      </c>
      <c r="C11" s="10" t="str">
        <f aca="false">IFERROR(INDEX('⚡ COMMAND TRACKER'!$E$5:$E$204,IFERROR(MATCH(SMALL(IF('⚡ COMMAND TRACKER'!$AC$5:$AC$204&lt;="",9999999,'⚡ COMMAND TRACKER'!$AC$5:$AC$204),8),'⚡ COMMAND TRACKER'!$AC$5:$AC$204,0),"")),"")</f>
        <v/>
      </c>
      <c r="D11" s="30" t="str">
        <f aca="false">IFERROR(INDEX('⚡ COMMAND TRACKER'!$B$5:$B$204,IFERROR(MATCH(SMALL(IF('⚡ COMMAND TRACKER'!$AC$5:$AC$204&lt;="",9999999,'⚡ COMMAND TRACKER'!$AC$5:$AC$204),8),'⚡ COMMAND TRACKER'!$AC$5:$AC$204,0),"")),"")</f>
        <v/>
      </c>
      <c r="E11" s="35" t="str">
        <f aca="false">IFERROR(INDEX('⚡ COMMAND TRACKER'!$Y$5:$Y$204,IFERROR(MATCH(SMALL(IF('⚡ COMMAND TRACKER'!$AC$5:$AC$204&lt;="",9999999,'⚡ COMMAND TRACKER'!$AC$5:$AC$204),8),'⚡ COMMAND TRACKER'!$AC$5:$AC$204,0),"")),"")</f>
        <v/>
      </c>
      <c r="F11" s="11" t="str">
        <f aca="false">IFERROR(INDEX('⚡ COMMAND TRACKER'!$Z$5:$Z$204,IFERROR(MATCH(SMALL(IF('⚡ COMMAND TRACKER'!$AC$5:$AC$204&lt;="",9999999,'⚡ COMMAND TRACKER'!$AC$5:$AC$204),8),'⚡ COMMAND TRACKER'!$AC$5:$AC$204,0),"")),"")</f>
        <v/>
      </c>
      <c r="G11" s="11" t="str">
        <f aca="false">IFERROR(INDEX('⚡ COMMAND TRACKER'!$U$5:$U$204,IFERROR(MATCH(SMALL(IF('⚡ COMMAND TRACKER'!$AC$5:$AC$204&lt;="",9999999,'⚡ COMMAND TRACKER'!$AC$5:$AC$204),8),'⚡ COMMAND TRACKER'!$AC$5:$AC$204,0),"")),"")</f>
        <v/>
      </c>
      <c r="H11" s="10" t="str">
        <f aca="false">IFERROR(INDEX('⚡ COMMAND TRACKER'!$X$5:$X$204,IFERROR(MATCH(SMALL(IF('⚡ COMMAND TRACKER'!$AC$5:$AC$204&lt;="",9999999,'⚡ COMMAND TRACKER'!$AC$5:$AC$204),8),'⚡ COMMAND TRACKER'!$AC$5:$AC$204,0),"")),"")</f>
        <v/>
      </c>
      <c r="I11" s="14" t="str">
        <f aca="false">IFERROR(INDEX('⚡ COMMAND TRACKER'!$AB$5:$AB$204,IFERROR(MATCH(SMALL(IF('⚡ COMMAND TRACKER'!$AC$5:$AC$204&lt;="",9999999,'⚡ COMMAND TRACKER'!$AC$5:$AC$204),8),'⚡ COMMAND TRACKER'!$AC$5:$AC$204,0),"")),"")</f>
        <v/>
      </c>
      <c r="J11" s="14" t="str">
        <f aca="false">IFERROR(INDEX('⚡ COMMAND TRACKER'!$AC$5:$AC$204,IFERROR(MATCH(SMALL(IF('⚡ COMMAND TRACKER'!$AC$5:$AC$204&lt;="",9999999,'⚡ COMMAND TRACKER'!$AC$5:$AC$204),8),'⚡ COMMAND TRACKER'!$AC$5:$AC$204,0),"")),"")</f>
        <v/>
      </c>
      <c r="K11" s="16" t="str">
        <f aca="true">IFERROR(IF(J11="","",TODAY()-J11),"")</f>
        <v/>
      </c>
    </row>
    <row r="12" customFormat="false" ht="19.5" hidden="false" customHeight="true" outlineLevel="0" collapsed="false">
      <c r="A12" s="18" t="str">
        <f aca="true">IFERROR(IF(INDEX('⚡ COMMAND TRACKER'!$AC$5:$AC$204,IFERROR(MATCH(SMALL(IF('⚡ COMMAND TRACKER'!$AC$5:$AC$204&lt;="",9999999,'⚡ COMMAND TRACKER'!$AC$5:$AC$204),9),'⚡ COMMAND TRACKER'!$AC$5:$AC$204,0),""))-TODAY()&lt;0,"🚨 OVERDUE",IF(INDEX('⚡ COMMAND TRACKER'!$AC$5:$AC$204,IFERROR(MATCH(SMALL(IF('⚡ COMMAND TRACKER'!$AC$5:$AC$204&lt;="",9999999,'⚡ COMMAND TRACKER'!$AC$5:$AC$204),9),'⚡ COMMAND TRACKER'!$AC$5:$AC$204,0),""))-TODAY()&lt;=1,"🔔 DUE NOW","📋 UPCOMING")),"")</f>
        <v/>
      </c>
      <c r="B12" s="17" t="str">
        <f aca="false">IFERROR(INDEX('⚡ COMMAND TRACKER'!$A$5:$A$204,IFERROR(MATCH(SMALL(IF('⚡ COMMAND TRACKER'!$AC$5:$AC$204&lt;="",9999999,'⚡ COMMAND TRACKER'!$AC$5:$AC$204),9),'⚡ COMMAND TRACKER'!$AC$5:$AC$204,0),"")),"")</f>
        <v/>
      </c>
      <c r="C12" s="17" t="str">
        <f aca="false">IFERROR(INDEX('⚡ COMMAND TRACKER'!$E$5:$E$204,IFERROR(MATCH(SMALL(IF('⚡ COMMAND TRACKER'!$AC$5:$AC$204&lt;="",9999999,'⚡ COMMAND TRACKER'!$AC$5:$AC$204),9),'⚡ COMMAND TRACKER'!$AC$5:$AC$204,0),"")),"")</f>
        <v/>
      </c>
      <c r="D12" s="27" t="str">
        <f aca="false">IFERROR(INDEX('⚡ COMMAND TRACKER'!$B$5:$B$204,IFERROR(MATCH(SMALL(IF('⚡ COMMAND TRACKER'!$AC$5:$AC$204&lt;="",9999999,'⚡ COMMAND TRACKER'!$AC$5:$AC$204),9),'⚡ COMMAND TRACKER'!$AC$5:$AC$204,0),"")),"")</f>
        <v/>
      </c>
      <c r="E12" s="34" t="str">
        <f aca="false">IFERROR(INDEX('⚡ COMMAND TRACKER'!$Y$5:$Y$204,IFERROR(MATCH(SMALL(IF('⚡ COMMAND TRACKER'!$AC$5:$AC$204&lt;="",9999999,'⚡ COMMAND TRACKER'!$AC$5:$AC$204),9),'⚡ COMMAND TRACKER'!$AC$5:$AC$204,0),"")),"")</f>
        <v/>
      </c>
      <c r="F12" s="18" t="str">
        <f aca="false">IFERROR(INDEX('⚡ COMMAND TRACKER'!$Z$5:$Z$204,IFERROR(MATCH(SMALL(IF('⚡ COMMAND TRACKER'!$AC$5:$AC$204&lt;="",9999999,'⚡ COMMAND TRACKER'!$AC$5:$AC$204),9),'⚡ COMMAND TRACKER'!$AC$5:$AC$204,0),"")),"")</f>
        <v/>
      </c>
      <c r="G12" s="18" t="str">
        <f aca="false">IFERROR(INDEX('⚡ COMMAND TRACKER'!$U$5:$U$204,IFERROR(MATCH(SMALL(IF('⚡ COMMAND TRACKER'!$AC$5:$AC$204&lt;="",9999999,'⚡ COMMAND TRACKER'!$AC$5:$AC$204),9),'⚡ COMMAND TRACKER'!$AC$5:$AC$204,0),"")),"")</f>
        <v/>
      </c>
      <c r="H12" s="17" t="str">
        <f aca="false">IFERROR(INDEX('⚡ COMMAND TRACKER'!$X$5:$X$204,IFERROR(MATCH(SMALL(IF('⚡ COMMAND TRACKER'!$AC$5:$AC$204&lt;="",9999999,'⚡ COMMAND TRACKER'!$AC$5:$AC$204),9),'⚡ COMMAND TRACKER'!$AC$5:$AC$204,0),"")),"")</f>
        <v/>
      </c>
      <c r="I12" s="21" t="str">
        <f aca="false">IFERROR(INDEX('⚡ COMMAND TRACKER'!$AB$5:$AB$204,IFERROR(MATCH(SMALL(IF('⚡ COMMAND TRACKER'!$AC$5:$AC$204&lt;="",9999999,'⚡ COMMAND TRACKER'!$AC$5:$AC$204),9),'⚡ COMMAND TRACKER'!$AC$5:$AC$204,0),"")),"")</f>
        <v/>
      </c>
      <c r="J12" s="21" t="str">
        <f aca="false">IFERROR(INDEX('⚡ COMMAND TRACKER'!$AC$5:$AC$204,IFERROR(MATCH(SMALL(IF('⚡ COMMAND TRACKER'!$AC$5:$AC$204&lt;="",9999999,'⚡ COMMAND TRACKER'!$AC$5:$AC$204),9),'⚡ COMMAND TRACKER'!$AC$5:$AC$204,0),"")),"")</f>
        <v/>
      </c>
      <c r="K12" s="23" t="str">
        <f aca="true">IFERROR(IF(J12="","",TODAY()-J12),"")</f>
        <v/>
      </c>
    </row>
    <row r="13" customFormat="false" ht="19.5" hidden="false" customHeight="true" outlineLevel="0" collapsed="false">
      <c r="A13" s="11" t="str">
        <f aca="true">IFERROR(IF(INDEX('⚡ COMMAND TRACKER'!$AC$5:$AC$204,IFERROR(MATCH(SMALL(IF('⚡ COMMAND TRACKER'!$AC$5:$AC$204&lt;="",9999999,'⚡ COMMAND TRACKER'!$AC$5:$AC$204),10),'⚡ COMMAND TRACKER'!$AC$5:$AC$204,0),""))-TODAY()&lt;0,"🚨 OVERDUE",IF(INDEX('⚡ COMMAND TRACKER'!$AC$5:$AC$204,IFERROR(MATCH(SMALL(IF('⚡ COMMAND TRACKER'!$AC$5:$AC$204&lt;="",9999999,'⚡ COMMAND TRACKER'!$AC$5:$AC$204),10),'⚡ COMMAND TRACKER'!$AC$5:$AC$204,0),""))-TODAY()&lt;=1,"🔔 DUE NOW","📋 UPCOMING")),"")</f>
        <v/>
      </c>
      <c r="B13" s="10" t="str">
        <f aca="false">IFERROR(INDEX('⚡ COMMAND TRACKER'!$A$5:$A$204,IFERROR(MATCH(SMALL(IF('⚡ COMMAND TRACKER'!$AC$5:$AC$204&lt;="",9999999,'⚡ COMMAND TRACKER'!$AC$5:$AC$204),10),'⚡ COMMAND TRACKER'!$AC$5:$AC$204,0),"")),"")</f>
        <v/>
      </c>
      <c r="C13" s="10" t="str">
        <f aca="false">IFERROR(INDEX('⚡ COMMAND TRACKER'!$E$5:$E$204,IFERROR(MATCH(SMALL(IF('⚡ COMMAND TRACKER'!$AC$5:$AC$204&lt;="",9999999,'⚡ COMMAND TRACKER'!$AC$5:$AC$204),10),'⚡ COMMAND TRACKER'!$AC$5:$AC$204,0),"")),"")</f>
        <v/>
      </c>
      <c r="D13" s="30" t="str">
        <f aca="false">IFERROR(INDEX('⚡ COMMAND TRACKER'!$B$5:$B$204,IFERROR(MATCH(SMALL(IF('⚡ COMMAND TRACKER'!$AC$5:$AC$204&lt;="",9999999,'⚡ COMMAND TRACKER'!$AC$5:$AC$204),10),'⚡ COMMAND TRACKER'!$AC$5:$AC$204,0),"")),"")</f>
        <v/>
      </c>
      <c r="E13" s="35" t="str">
        <f aca="false">IFERROR(INDEX('⚡ COMMAND TRACKER'!$Y$5:$Y$204,IFERROR(MATCH(SMALL(IF('⚡ COMMAND TRACKER'!$AC$5:$AC$204&lt;="",9999999,'⚡ COMMAND TRACKER'!$AC$5:$AC$204),10),'⚡ COMMAND TRACKER'!$AC$5:$AC$204,0),"")),"")</f>
        <v/>
      </c>
      <c r="F13" s="11" t="str">
        <f aca="false">IFERROR(INDEX('⚡ COMMAND TRACKER'!$Z$5:$Z$204,IFERROR(MATCH(SMALL(IF('⚡ COMMAND TRACKER'!$AC$5:$AC$204&lt;="",9999999,'⚡ COMMAND TRACKER'!$AC$5:$AC$204),10),'⚡ COMMAND TRACKER'!$AC$5:$AC$204,0),"")),"")</f>
        <v/>
      </c>
      <c r="G13" s="11" t="str">
        <f aca="false">IFERROR(INDEX('⚡ COMMAND TRACKER'!$U$5:$U$204,IFERROR(MATCH(SMALL(IF('⚡ COMMAND TRACKER'!$AC$5:$AC$204&lt;="",9999999,'⚡ COMMAND TRACKER'!$AC$5:$AC$204),10),'⚡ COMMAND TRACKER'!$AC$5:$AC$204,0),"")),"")</f>
        <v/>
      </c>
      <c r="H13" s="10" t="str">
        <f aca="false">IFERROR(INDEX('⚡ COMMAND TRACKER'!$X$5:$X$204,IFERROR(MATCH(SMALL(IF('⚡ COMMAND TRACKER'!$AC$5:$AC$204&lt;="",9999999,'⚡ COMMAND TRACKER'!$AC$5:$AC$204),10),'⚡ COMMAND TRACKER'!$AC$5:$AC$204,0),"")),"")</f>
        <v/>
      </c>
      <c r="I13" s="14" t="str">
        <f aca="false">IFERROR(INDEX('⚡ COMMAND TRACKER'!$AB$5:$AB$204,IFERROR(MATCH(SMALL(IF('⚡ COMMAND TRACKER'!$AC$5:$AC$204&lt;="",9999999,'⚡ COMMAND TRACKER'!$AC$5:$AC$204),10),'⚡ COMMAND TRACKER'!$AC$5:$AC$204,0),"")),"")</f>
        <v/>
      </c>
      <c r="J13" s="14" t="str">
        <f aca="false">IFERROR(INDEX('⚡ COMMAND TRACKER'!$AC$5:$AC$204,IFERROR(MATCH(SMALL(IF('⚡ COMMAND TRACKER'!$AC$5:$AC$204&lt;="",9999999,'⚡ COMMAND TRACKER'!$AC$5:$AC$204),10),'⚡ COMMAND TRACKER'!$AC$5:$AC$204,0),"")),"")</f>
        <v/>
      </c>
      <c r="K13" s="16" t="str">
        <f aca="true">IFERROR(IF(J13="","",TODAY()-J13),"")</f>
        <v/>
      </c>
    </row>
    <row r="14" customFormat="false" ht="19.5" hidden="false" customHeight="true" outlineLevel="0" collapsed="false">
      <c r="A14" s="18" t="str">
        <f aca="true">IFERROR(IF(INDEX('⚡ COMMAND TRACKER'!$AC$5:$AC$204,IFERROR(MATCH(SMALL(IF('⚡ COMMAND TRACKER'!$AC$5:$AC$204&lt;="",9999999,'⚡ COMMAND TRACKER'!$AC$5:$AC$204),11),'⚡ COMMAND TRACKER'!$AC$5:$AC$204,0),""))-TODAY()&lt;0,"🚨 OVERDUE",IF(INDEX('⚡ COMMAND TRACKER'!$AC$5:$AC$204,IFERROR(MATCH(SMALL(IF('⚡ COMMAND TRACKER'!$AC$5:$AC$204&lt;="",9999999,'⚡ COMMAND TRACKER'!$AC$5:$AC$204),11),'⚡ COMMAND TRACKER'!$AC$5:$AC$204,0),""))-TODAY()&lt;=1,"🔔 DUE NOW","📋 UPCOMING")),"")</f>
        <v/>
      </c>
      <c r="B14" s="17" t="str">
        <f aca="false">IFERROR(INDEX('⚡ COMMAND TRACKER'!$A$5:$A$204,IFERROR(MATCH(SMALL(IF('⚡ COMMAND TRACKER'!$AC$5:$AC$204&lt;="",9999999,'⚡ COMMAND TRACKER'!$AC$5:$AC$204),11),'⚡ COMMAND TRACKER'!$AC$5:$AC$204,0),"")),"")</f>
        <v/>
      </c>
      <c r="C14" s="17" t="str">
        <f aca="false">IFERROR(INDEX('⚡ COMMAND TRACKER'!$E$5:$E$204,IFERROR(MATCH(SMALL(IF('⚡ COMMAND TRACKER'!$AC$5:$AC$204&lt;="",9999999,'⚡ COMMAND TRACKER'!$AC$5:$AC$204),11),'⚡ COMMAND TRACKER'!$AC$5:$AC$204,0),"")),"")</f>
        <v/>
      </c>
      <c r="D14" s="27" t="str">
        <f aca="false">IFERROR(INDEX('⚡ COMMAND TRACKER'!$B$5:$B$204,IFERROR(MATCH(SMALL(IF('⚡ COMMAND TRACKER'!$AC$5:$AC$204&lt;="",9999999,'⚡ COMMAND TRACKER'!$AC$5:$AC$204),11),'⚡ COMMAND TRACKER'!$AC$5:$AC$204,0),"")),"")</f>
        <v/>
      </c>
      <c r="E14" s="34" t="str">
        <f aca="false">IFERROR(INDEX('⚡ COMMAND TRACKER'!$Y$5:$Y$204,IFERROR(MATCH(SMALL(IF('⚡ COMMAND TRACKER'!$AC$5:$AC$204&lt;="",9999999,'⚡ COMMAND TRACKER'!$AC$5:$AC$204),11),'⚡ COMMAND TRACKER'!$AC$5:$AC$204,0),"")),"")</f>
        <v/>
      </c>
      <c r="F14" s="18" t="str">
        <f aca="false">IFERROR(INDEX('⚡ COMMAND TRACKER'!$Z$5:$Z$204,IFERROR(MATCH(SMALL(IF('⚡ COMMAND TRACKER'!$AC$5:$AC$204&lt;="",9999999,'⚡ COMMAND TRACKER'!$AC$5:$AC$204),11),'⚡ COMMAND TRACKER'!$AC$5:$AC$204,0),"")),"")</f>
        <v/>
      </c>
      <c r="G14" s="18" t="str">
        <f aca="false">IFERROR(INDEX('⚡ COMMAND TRACKER'!$U$5:$U$204,IFERROR(MATCH(SMALL(IF('⚡ COMMAND TRACKER'!$AC$5:$AC$204&lt;="",9999999,'⚡ COMMAND TRACKER'!$AC$5:$AC$204),11),'⚡ COMMAND TRACKER'!$AC$5:$AC$204,0),"")),"")</f>
        <v/>
      </c>
      <c r="H14" s="17" t="str">
        <f aca="false">IFERROR(INDEX('⚡ COMMAND TRACKER'!$X$5:$X$204,IFERROR(MATCH(SMALL(IF('⚡ COMMAND TRACKER'!$AC$5:$AC$204&lt;="",9999999,'⚡ COMMAND TRACKER'!$AC$5:$AC$204),11),'⚡ COMMAND TRACKER'!$AC$5:$AC$204,0),"")),"")</f>
        <v/>
      </c>
      <c r="I14" s="21" t="str">
        <f aca="false">IFERROR(INDEX('⚡ COMMAND TRACKER'!$AB$5:$AB$204,IFERROR(MATCH(SMALL(IF('⚡ COMMAND TRACKER'!$AC$5:$AC$204&lt;="",9999999,'⚡ COMMAND TRACKER'!$AC$5:$AC$204),11),'⚡ COMMAND TRACKER'!$AC$5:$AC$204,0),"")),"")</f>
        <v/>
      </c>
      <c r="J14" s="21" t="str">
        <f aca="false">IFERROR(INDEX('⚡ COMMAND TRACKER'!$AC$5:$AC$204,IFERROR(MATCH(SMALL(IF('⚡ COMMAND TRACKER'!$AC$5:$AC$204&lt;="",9999999,'⚡ COMMAND TRACKER'!$AC$5:$AC$204),11),'⚡ COMMAND TRACKER'!$AC$5:$AC$204,0),"")),"")</f>
        <v/>
      </c>
      <c r="K14" s="23" t="str">
        <f aca="true">IFERROR(IF(J14="","",TODAY()-J14),"")</f>
        <v/>
      </c>
    </row>
    <row r="15" customFormat="false" ht="19.5" hidden="false" customHeight="true" outlineLevel="0" collapsed="false">
      <c r="A15" s="11" t="str">
        <f aca="true">IFERROR(IF(INDEX('⚡ COMMAND TRACKER'!$AC$5:$AC$204,IFERROR(MATCH(SMALL(IF('⚡ COMMAND TRACKER'!$AC$5:$AC$204&lt;="",9999999,'⚡ COMMAND TRACKER'!$AC$5:$AC$204),12),'⚡ COMMAND TRACKER'!$AC$5:$AC$204,0),""))-TODAY()&lt;0,"🚨 OVERDUE",IF(INDEX('⚡ COMMAND TRACKER'!$AC$5:$AC$204,IFERROR(MATCH(SMALL(IF('⚡ COMMAND TRACKER'!$AC$5:$AC$204&lt;="",9999999,'⚡ COMMAND TRACKER'!$AC$5:$AC$204),12),'⚡ COMMAND TRACKER'!$AC$5:$AC$204,0),""))-TODAY()&lt;=1,"🔔 DUE NOW","📋 UPCOMING")),"")</f>
        <v/>
      </c>
      <c r="B15" s="10" t="str">
        <f aca="false">IFERROR(INDEX('⚡ COMMAND TRACKER'!$A$5:$A$204,IFERROR(MATCH(SMALL(IF('⚡ COMMAND TRACKER'!$AC$5:$AC$204&lt;="",9999999,'⚡ COMMAND TRACKER'!$AC$5:$AC$204),12),'⚡ COMMAND TRACKER'!$AC$5:$AC$204,0),"")),"")</f>
        <v/>
      </c>
      <c r="C15" s="10" t="str">
        <f aca="false">IFERROR(INDEX('⚡ COMMAND TRACKER'!$E$5:$E$204,IFERROR(MATCH(SMALL(IF('⚡ COMMAND TRACKER'!$AC$5:$AC$204&lt;="",9999999,'⚡ COMMAND TRACKER'!$AC$5:$AC$204),12),'⚡ COMMAND TRACKER'!$AC$5:$AC$204,0),"")),"")</f>
        <v/>
      </c>
      <c r="D15" s="30" t="str">
        <f aca="false">IFERROR(INDEX('⚡ COMMAND TRACKER'!$B$5:$B$204,IFERROR(MATCH(SMALL(IF('⚡ COMMAND TRACKER'!$AC$5:$AC$204&lt;="",9999999,'⚡ COMMAND TRACKER'!$AC$5:$AC$204),12),'⚡ COMMAND TRACKER'!$AC$5:$AC$204,0),"")),"")</f>
        <v/>
      </c>
      <c r="E15" s="35" t="str">
        <f aca="false">IFERROR(INDEX('⚡ COMMAND TRACKER'!$Y$5:$Y$204,IFERROR(MATCH(SMALL(IF('⚡ COMMAND TRACKER'!$AC$5:$AC$204&lt;="",9999999,'⚡ COMMAND TRACKER'!$AC$5:$AC$204),12),'⚡ COMMAND TRACKER'!$AC$5:$AC$204,0),"")),"")</f>
        <v/>
      </c>
      <c r="F15" s="11" t="str">
        <f aca="false">IFERROR(INDEX('⚡ COMMAND TRACKER'!$Z$5:$Z$204,IFERROR(MATCH(SMALL(IF('⚡ COMMAND TRACKER'!$AC$5:$AC$204&lt;="",9999999,'⚡ COMMAND TRACKER'!$AC$5:$AC$204),12),'⚡ COMMAND TRACKER'!$AC$5:$AC$204,0),"")),"")</f>
        <v/>
      </c>
      <c r="G15" s="11" t="str">
        <f aca="false">IFERROR(INDEX('⚡ COMMAND TRACKER'!$U$5:$U$204,IFERROR(MATCH(SMALL(IF('⚡ COMMAND TRACKER'!$AC$5:$AC$204&lt;="",9999999,'⚡ COMMAND TRACKER'!$AC$5:$AC$204),12),'⚡ COMMAND TRACKER'!$AC$5:$AC$204,0),"")),"")</f>
        <v/>
      </c>
      <c r="H15" s="10" t="str">
        <f aca="false">IFERROR(INDEX('⚡ COMMAND TRACKER'!$X$5:$X$204,IFERROR(MATCH(SMALL(IF('⚡ COMMAND TRACKER'!$AC$5:$AC$204&lt;="",9999999,'⚡ COMMAND TRACKER'!$AC$5:$AC$204),12),'⚡ COMMAND TRACKER'!$AC$5:$AC$204,0),"")),"")</f>
        <v/>
      </c>
      <c r="I15" s="14" t="str">
        <f aca="false">IFERROR(INDEX('⚡ COMMAND TRACKER'!$AB$5:$AB$204,IFERROR(MATCH(SMALL(IF('⚡ COMMAND TRACKER'!$AC$5:$AC$204&lt;="",9999999,'⚡ COMMAND TRACKER'!$AC$5:$AC$204),12),'⚡ COMMAND TRACKER'!$AC$5:$AC$204,0),"")),"")</f>
        <v/>
      </c>
      <c r="J15" s="14" t="str">
        <f aca="false">IFERROR(INDEX('⚡ COMMAND TRACKER'!$AC$5:$AC$204,IFERROR(MATCH(SMALL(IF('⚡ COMMAND TRACKER'!$AC$5:$AC$204&lt;="",9999999,'⚡ COMMAND TRACKER'!$AC$5:$AC$204),12),'⚡ COMMAND TRACKER'!$AC$5:$AC$204,0),"")),"")</f>
        <v/>
      </c>
      <c r="K15" s="16" t="str">
        <f aca="true">IFERROR(IF(J15="","",TODAY()-J15),"")</f>
        <v/>
      </c>
    </row>
    <row r="16" customFormat="false" ht="19.5" hidden="false" customHeight="true" outlineLevel="0" collapsed="false">
      <c r="A16" s="18" t="str">
        <f aca="true">IFERROR(IF(INDEX('⚡ COMMAND TRACKER'!$AC$5:$AC$204,IFERROR(MATCH(SMALL(IF('⚡ COMMAND TRACKER'!$AC$5:$AC$204&lt;="",9999999,'⚡ COMMAND TRACKER'!$AC$5:$AC$204),13),'⚡ COMMAND TRACKER'!$AC$5:$AC$204,0),""))-TODAY()&lt;0,"🚨 OVERDUE",IF(INDEX('⚡ COMMAND TRACKER'!$AC$5:$AC$204,IFERROR(MATCH(SMALL(IF('⚡ COMMAND TRACKER'!$AC$5:$AC$204&lt;="",9999999,'⚡ COMMAND TRACKER'!$AC$5:$AC$204),13),'⚡ COMMAND TRACKER'!$AC$5:$AC$204,0),""))-TODAY()&lt;=1,"🔔 DUE NOW","📋 UPCOMING")),"")</f>
        <v/>
      </c>
      <c r="B16" s="17" t="str">
        <f aca="false">IFERROR(INDEX('⚡ COMMAND TRACKER'!$A$5:$A$204,IFERROR(MATCH(SMALL(IF('⚡ COMMAND TRACKER'!$AC$5:$AC$204&lt;="",9999999,'⚡ COMMAND TRACKER'!$AC$5:$AC$204),13),'⚡ COMMAND TRACKER'!$AC$5:$AC$204,0),"")),"")</f>
        <v/>
      </c>
      <c r="C16" s="17" t="str">
        <f aca="false">IFERROR(INDEX('⚡ COMMAND TRACKER'!$E$5:$E$204,IFERROR(MATCH(SMALL(IF('⚡ COMMAND TRACKER'!$AC$5:$AC$204&lt;="",9999999,'⚡ COMMAND TRACKER'!$AC$5:$AC$204),13),'⚡ COMMAND TRACKER'!$AC$5:$AC$204,0),"")),"")</f>
        <v/>
      </c>
      <c r="D16" s="27" t="str">
        <f aca="false">IFERROR(INDEX('⚡ COMMAND TRACKER'!$B$5:$B$204,IFERROR(MATCH(SMALL(IF('⚡ COMMAND TRACKER'!$AC$5:$AC$204&lt;="",9999999,'⚡ COMMAND TRACKER'!$AC$5:$AC$204),13),'⚡ COMMAND TRACKER'!$AC$5:$AC$204,0),"")),"")</f>
        <v/>
      </c>
      <c r="E16" s="34" t="str">
        <f aca="false">IFERROR(INDEX('⚡ COMMAND TRACKER'!$Y$5:$Y$204,IFERROR(MATCH(SMALL(IF('⚡ COMMAND TRACKER'!$AC$5:$AC$204&lt;="",9999999,'⚡ COMMAND TRACKER'!$AC$5:$AC$204),13),'⚡ COMMAND TRACKER'!$AC$5:$AC$204,0),"")),"")</f>
        <v/>
      </c>
      <c r="F16" s="18" t="str">
        <f aca="false">IFERROR(INDEX('⚡ COMMAND TRACKER'!$Z$5:$Z$204,IFERROR(MATCH(SMALL(IF('⚡ COMMAND TRACKER'!$AC$5:$AC$204&lt;="",9999999,'⚡ COMMAND TRACKER'!$AC$5:$AC$204),13),'⚡ COMMAND TRACKER'!$AC$5:$AC$204,0),"")),"")</f>
        <v/>
      </c>
      <c r="G16" s="18" t="str">
        <f aca="false">IFERROR(INDEX('⚡ COMMAND TRACKER'!$U$5:$U$204,IFERROR(MATCH(SMALL(IF('⚡ COMMAND TRACKER'!$AC$5:$AC$204&lt;="",9999999,'⚡ COMMAND TRACKER'!$AC$5:$AC$204),13),'⚡ COMMAND TRACKER'!$AC$5:$AC$204,0),"")),"")</f>
        <v/>
      </c>
      <c r="H16" s="17" t="str">
        <f aca="false">IFERROR(INDEX('⚡ COMMAND TRACKER'!$X$5:$X$204,IFERROR(MATCH(SMALL(IF('⚡ COMMAND TRACKER'!$AC$5:$AC$204&lt;="",9999999,'⚡ COMMAND TRACKER'!$AC$5:$AC$204),13),'⚡ COMMAND TRACKER'!$AC$5:$AC$204,0),"")),"")</f>
        <v/>
      </c>
      <c r="I16" s="21" t="str">
        <f aca="false">IFERROR(INDEX('⚡ COMMAND TRACKER'!$AB$5:$AB$204,IFERROR(MATCH(SMALL(IF('⚡ COMMAND TRACKER'!$AC$5:$AC$204&lt;="",9999999,'⚡ COMMAND TRACKER'!$AC$5:$AC$204),13),'⚡ COMMAND TRACKER'!$AC$5:$AC$204,0),"")),"")</f>
        <v/>
      </c>
      <c r="J16" s="21" t="str">
        <f aca="false">IFERROR(INDEX('⚡ COMMAND TRACKER'!$AC$5:$AC$204,IFERROR(MATCH(SMALL(IF('⚡ COMMAND TRACKER'!$AC$5:$AC$204&lt;="",9999999,'⚡ COMMAND TRACKER'!$AC$5:$AC$204),13),'⚡ COMMAND TRACKER'!$AC$5:$AC$204,0),"")),"")</f>
        <v/>
      </c>
      <c r="K16" s="23" t="str">
        <f aca="true">IFERROR(IF(J16="","",TODAY()-J16),"")</f>
        <v/>
      </c>
    </row>
    <row r="17" customFormat="false" ht="19.5" hidden="false" customHeight="true" outlineLevel="0" collapsed="false">
      <c r="A17" s="11" t="str">
        <f aca="true">IFERROR(IF(INDEX('⚡ COMMAND TRACKER'!$AC$5:$AC$204,IFERROR(MATCH(SMALL(IF('⚡ COMMAND TRACKER'!$AC$5:$AC$204&lt;="",9999999,'⚡ COMMAND TRACKER'!$AC$5:$AC$204),14),'⚡ COMMAND TRACKER'!$AC$5:$AC$204,0),""))-TODAY()&lt;0,"🚨 OVERDUE",IF(INDEX('⚡ COMMAND TRACKER'!$AC$5:$AC$204,IFERROR(MATCH(SMALL(IF('⚡ COMMAND TRACKER'!$AC$5:$AC$204&lt;="",9999999,'⚡ COMMAND TRACKER'!$AC$5:$AC$204),14),'⚡ COMMAND TRACKER'!$AC$5:$AC$204,0),""))-TODAY()&lt;=1,"🔔 DUE NOW","📋 UPCOMING")),"")</f>
        <v/>
      </c>
      <c r="B17" s="10" t="str">
        <f aca="false">IFERROR(INDEX('⚡ COMMAND TRACKER'!$A$5:$A$204,IFERROR(MATCH(SMALL(IF('⚡ COMMAND TRACKER'!$AC$5:$AC$204&lt;="",9999999,'⚡ COMMAND TRACKER'!$AC$5:$AC$204),14),'⚡ COMMAND TRACKER'!$AC$5:$AC$204,0),"")),"")</f>
        <v/>
      </c>
      <c r="C17" s="10" t="str">
        <f aca="false">IFERROR(INDEX('⚡ COMMAND TRACKER'!$E$5:$E$204,IFERROR(MATCH(SMALL(IF('⚡ COMMAND TRACKER'!$AC$5:$AC$204&lt;="",9999999,'⚡ COMMAND TRACKER'!$AC$5:$AC$204),14),'⚡ COMMAND TRACKER'!$AC$5:$AC$204,0),"")),"")</f>
        <v/>
      </c>
      <c r="D17" s="30" t="str">
        <f aca="false">IFERROR(INDEX('⚡ COMMAND TRACKER'!$B$5:$B$204,IFERROR(MATCH(SMALL(IF('⚡ COMMAND TRACKER'!$AC$5:$AC$204&lt;="",9999999,'⚡ COMMAND TRACKER'!$AC$5:$AC$204),14),'⚡ COMMAND TRACKER'!$AC$5:$AC$204,0),"")),"")</f>
        <v/>
      </c>
      <c r="E17" s="35" t="str">
        <f aca="false">IFERROR(INDEX('⚡ COMMAND TRACKER'!$Y$5:$Y$204,IFERROR(MATCH(SMALL(IF('⚡ COMMAND TRACKER'!$AC$5:$AC$204&lt;="",9999999,'⚡ COMMAND TRACKER'!$AC$5:$AC$204),14),'⚡ COMMAND TRACKER'!$AC$5:$AC$204,0),"")),"")</f>
        <v/>
      </c>
      <c r="F17" s="11" t="str">
        <f aca="false">IFERROR(INDEX('⚡ COMMAND TRACKER'!$Z$5:$Z$204,IFERROR(MATCH(SMALL(IF('⚡ COMMAND TRACKER'!$AC$5:$AC$204&lt;="",9999999,'⚡ COMMAND TRACKER'!$AC$5:$AC$204),14),'⚡ COMMAND TRACKER'!$AC$5:$AC$204,0),"")),"")</f>
        <v/>
      </c>
      <c r="G17" s="11" t="str">
        <f aca="false">IFERROR(INDEX('⚡ COMMAND TRACKER'!$U$5:$U$204,IFERROR(MATCH(SMALL(IF('⚡ COMMAND TRACKER'!$AC$5:$AC$204&lt;="",9999999,'⚡ COMMAND TRACKER'!$AC$5:$AC$204),14),'⚡ COMMAND TRACKER'!$AC$5:$AC$204,0),"")),"")</f>
        <v/>
      </c>
      <c r="H17" s="10" t="str">
        <f aca="false">IFERROR(INDEX('⚡ COMMAND TRACKER'!$X$5:$X$204,IFERROR(MATCH(SMALL(IF('⚡ COMMAND TRACKER'!$AC$5:$AC$204&lt;="",9999999,'⚡ COMMAND TRACKER'!$AC$5:$AC$204),14),'⚡ COMMAND TRACKER'!$AC$5:$AC$204,0),"")),"")</f>
        <v/>
      </c>
      <c r="I17" s="14" t="str">
        <f aca="false">IFERROR(INDEX('⚡ COMMAND TRACKER'!$AB$5:$AB$204,IFERROR(MATCH(SMALL(IF('⚡ COMMAND TRACKER'!$AC$5:$AC$204&lt;="",9999999,'⚡ COMMAND TRACKER'!$AC$5:$AC$204),14),'⚡ COMMAND TRACKER'!$AC$5:$AC$204,0),"")),"")</f>
        <v/>
      </c>
      <c r="J17" s="14" t="str">
        <f aca="false">IFERROR(INDEX('⚡ COMMAND TRACKER'!$AC$5:$AC$204,IFERROR(MATCH(SMALL(IF('⚡ COMMAND TRACKER'!$AC$5:$AC$204&lt;="",9999999,'⚡ COMMAND TRACKER'!$AC$5:$AC$204),14),'⚡ COMMAND TRACKER'!$AC$5:$AC$204,0),"")),"")</f>
        <v/>
      </c>
      <c r="K17" s="16" t="str">
        <f aca="true">IFERROR(IF(J17="","",TODAY()-J17),"")</f>
        <v/>
      </c>
    </row>
    <row r="18" customFormat="false" ht="19.5" hidden="false" customHeight="true" outlineLevel="0" collapsed="false">
      <c r="A18" s="18" t="str">
        <f aca="true">IFERROR(IF(INDEX('⚡ COMMAND TRACKER'!$AC$5:$AC$204,IFERROR(MATCH(SMALL(IF('⚡ COMMAND TRACKER'!$AC$5:$AC$204&lt;="",9999999,'⚡ COMMAND TRACKER'!$AC$5:$AC$204),15),'⚡ COMMAND TRACKER'!$AC$5:$AC$204,0),""))-TODAY()&lt;0,"🚨 OVERDUE",IF(INDEX('⚡ COMMAND TRACKER'!$AC$5:$AC$204,IFERROR(MATCH(SMALL(IF('⚡ COMMAND TRACKER'!$AC$5:$AC$204&lt;="",9999999,'⚡ COMMAND TRACKER'!$AC$5:$AC$204),15),'⚡ COMMAND TRACKER'!$AC$5:$AC$204,0),""))-TODAY()&lt;=1,"🔔 DUE NOW","📋 UPCOMING")),"")</f>
        <v/>
      </c>
      <c r="B18" s="17" t="str">
        <f aca="false">IFERROR(INDEX('⚡ COMMAND TRACKER'!$A$5:$A$204,IFERROR(MATCH(SMALL(IF('⚡ COMMAND TRACKER'!$AC$5:$AC$204&lt;="",9999999,'⚡ COMMAND TRACKER'!$AC$5:$AC$204),15),'⚡ COMMAND TRACKER'!$AC$5:$AC$204,0),"")),"")</f>
        <v/>
      </c>
      <c r="C18" s="17" t="str">
        <f aca="false">IFERROR(INDEX('⚡ COMMAND TRACKER'!$E$5:$E$204,IFERROR(MATCH(SMALL(IF('⚡ COMMAND TRACKER'!$AC$5:$AC$204&lt;="",9999999,'⚡ COMMAND TRACKER'!$AC$5:$AC$204),15),'⚡ COMMAND TRACKER'!$AC$5:$AC$204,0),"")),"")</f>
        <v/>
      </c>
      <c r="D18" s="27" t="str">
        <f aca="false">IFERROR(INDEX('⚡ COMMAND TRACKER'!$B$5:$B$204,IFERROR(MATCH(SMALL(IF('⚡ COMMAND TRACKER'!$AC$5:$AC$204&lt;="",9999999,'⚡ COMMAND TRACKER'!$AC$5:$AC$204),15),'⚡ COMMAND TRACKER'!$AC$5:$AC$204,0),"")),"")</f>
        <v/>
      </c>
      <c r="E18" s="34" t="str">
        <f aca="false">IFERROR(INDEX('⚡ COMMAND TRACKER'!$Y$5:$Y$204,IFERROR(MATCH(SMALL(IF('⚡ COMMAND TRACKER'!$AC$5:$AC$204&lt;="",9999999,'⚡ COMMAND TRACKER'!$AC$5:$AC$204),15),'⚡ COMMAND TRACKER'!$AC$5:$AC$204,0),"")),"")</f>
        <v/>
      </c>
      <c r="F18" s="18" t="str">
        <f aca="false">IFERROR(INDEX('⚡ COMMAND TRACKER'!$Z$5:$Z$204,IFERROR(MATCH(SMALL(IF('⚡ COMMAND TRACKER'!$AC$5:$AC$204&lt;="",9999999,'⚡ COMMAND TRACKER'!$AC$5:$AC$204),15),'⚡ COMMAND TRACKER'!$AC$5:$AC$204,0),"")),"")</f>
        <v/>
      </c>
      <c r="G18" s="18" t="str">
        <f aca="false">IFERROR(INDEX('⚡ COMMAND TRACKER'!$U$5:$U$204,IFERROR(MATCH(SMALL(IF('⚡ COMMAND TRACKER'!$AC$5:$AC$204&lt;="",9999999,'⚡ COMMAND TRACKER'!$AC$5:$AC$204),15),'⚡ COMMAND TRACKER'!$AC$5:$AC$204,0),"")),"")</f>
        <v/>
      </c>
      <c r="H18" s="17" t="str">
        <f aca="false">IFERROR(INDEX('⚡ COMMAND TRACKER'!$X$5:$X$204,IFERROR(MATCH(SMALL(IF('⚡ COMMAND TRACKER'!$AC$5:$AC$204&lt;="",9999999,'⚡ COMMAND TRACKER'!$AC$5:$AC$204),15),'⚡ COMMAND TRACKER'!$AC$5:$AC$204,0),"")),"")</f>
        <v/>
      </c>
      <c r="I18" s="21" t="str">
        <f aca="false">IFERROR(INDEX('⚡ COMMAND TRACKER'!$AB$5:$AB$204,IFERROR(MATCH(SMALL(IF('⚡ COMMAND TRACKER'!$AC$5:$AC$204&lt;="",9999999,'⚡ COMMAND TRACKER'!$AC$5:$AC$204),15),'⚡ COMMAND TRACKER'!$AC$5:$AC$204,0),"")),"")</f>
        <v/>
      </c>
      <c r="J18" s="21" t="str">
        <f aca="false">IFERROR(INDEX('⚡ COMMAND TRACKER'!$AC$5:$AC$204,IFERROR(MATCH(SMALL(IF('⚡ COMMAND TRACKER'!$AC$5:$AC$204&lt;="",9999999,'⚡ COMMAND TRACKER'!$AC$5:$AC$204),15),'⚡ COMMAND TRACKER'!$AC$5:$AC$204,0),"")),"")</f>
        <v/>
      </c>
      <c r="K18" s="23" t="str">
        <f aca="true">IFERROR(IF(J18="","",TODAY()-J18),"")</f>
        <v/>
      </c>
    </row>
    <row r="19" customFormat="false" ht="19.5" hidden="false" customHeight="true" outlineLevel="0" collapsed="false">
      <c r="A19" s="11" t="str">
        <f aca="true">IFERROR(IF(INDEX('⚡ COMMAND TRACKER'!$AC$5:$AC$204,IFERROR(MATCH(SMALL(IF('⚡ COMMAND TRACKER'!$AC$5:$AC$204&lt;="",9999999,'⚡ COMMAND TRACKER'!$AC$5:$AC$204),16),'⚡ COMMAND TRACKER'!$AC$5:$AC$204,0),""))-TODAY()&lt;0,"🚨 OVERDUE",IF(INDEX('⚡ COMMAND TRACKER'!$AC$5:$AC$204,IFERROR(MATCH(SMALL(IF('⚡ COMMAND TRACKER'!$AC$5:$AC$204&lt;="",9999999,'⚡ COMMAND TRACKER'!$AC$5:$AC$204),16),'⚡ COMMAND TRACKER'!$AC$5:$AC$204,0),""))-TODAY()&lt;=1,"🔔 DUE NOW","📋 UPCOMING")),"")</f>
        <v/>
      </c>
      <c r="B19" s="10" t="str">
        <f aca="false">IFERROR(INDEX('⚡ COMMAND TRACKER'!$A$5:$A$204,IFERROR(MATCH(SMALL(IF('⚡ COMMAND TRACKER'!$AC$5:$AC$204&lt;="",9999999,'⚡ COMMAND TRACKER'!$AC$5:$AC$204),16),'⚡ COMMAND TRACKER'!$AC$5:$AC$204,0),"")),"")</f>
        <v/>
      </c>
      <c r="C19" s="10" t="str">
        <f aca="false">IFERROR(INDEX('⚡ COMMAND TRACKER'!$E$5:$E$204,IFERROR(MATCH(SMALL(IF('⚡ COMMAND TRACKER'!$AC$5:$AC$204&lt;="",9999999,'⚡ COMMAND TRACKER'!$AC$5:$AC$204),16),'⚡ COMMAND TRACKER'!$AC$5:$AC$204,0),"")),"")</f>
        <v/>
      </c>
      <c r="D19" s="30" t="str">
        <f aca="false">IFERROR(INDEX('⚡ COMMAND TRACKER'!$B$5:$B$204,IFERROR(MATCH(SMALL(IF('⚡ COMMAND TRACKER'!$AC$5:$AC$204&lt;="",9999999,'⚡ COMMAND TRACKER'!$AC$5:$AC$204),16),'⚡ COMMAND TRACKER'!$AC$5:$AC$204,0),"")),"")</f>
        <v/>
      </c>
      <c r="E19" s="35" t="str">
        <f aca="false">IFERROR(INDEX('⚡ COMMAND TRACKER'!$Y$5:$Y$204,IFERROR(MATCH(SMALL(IF('⚡ COMMAND TRACKER'!$AC$5:$AC$204&lt;="",9999999,'⚡ COMMAND TRACKER'!$AC$5:$AC$204),16),'⚡ COMMAND TRACKER'!$AC$5:$AC$204,0),"")),"")</f>
        <v/>
      </c>
      <c r="F19" s="11" t="str">
        <f aca="false">IFERROR(INDEX('⚡ COMMAND TRACKER'!$Z$5:$Z$204,IFERROR(MATCH(SMALL(IF('⚡ COMMAND TRACKER'!$AC$5:$AC$204&lt;="",9999999,'⚡ COMMAND TRACKER'!$AC$5:$AC$204),16),'⚡ COMMAND TRACKER'!$AC$5:$AC$204,0),"")),"")</f>
        <v/>
      </c>
      <c r="G19" s="11" t="str">
        <f aca="false">IFERROR(INDEX('⚡ COMMAND TRACKER'!$U$5:$U$204,IFERROR(MATCH(SMALL(IF('⚡ COMMAND TRACKER'!$AC$5:$AC$204&lt;="",9999999,'⚡ COMMAND TRACKER'!$AC$5:$AC$204),16),'⚡ COMMAND TRACKER'!$AC$5:$AC$204,0),"")),"")</f>
        <v/>
      </c>
      <c r="H19" s="10" t="str">
        <f aca="false">IFERROR(INDEX('⚡ COMMAND TRACKER'!$X$5:$X$204,IFERROR(MATCH(SMALL(IF('⚡ COMMAND TRACKER'!$AC$5:$AC$204&lt;="",9999999,'⚡ COMMAND TRACKER'!$AC$5:$AC$204),16),'⚡ COMMAND TRACKER'!$AC$5:$AC$204,0),"")),"")</f>
        <v/>
      </c>
      <c r="I19" s="14" t="str">
        <f aca="false">IFERROR(INDEX('⚡ COMMAND TRACKER'!$AB$5:$AB$204,IFERROR(MATCH(SMALL(IF('⚡ COMMAND TRACKER'!$AC$5:$AC$204&lt;="",9999999,'⚡ COMMAND TRACKER'!$AC$5:$AC$204),16),'⚡ COMMAND TRACKER'!$AC$5:$AC$204,0),"")),"")</f>
        <v/>
      </c>
      <c r="J19" s="14" t="str">
        <f aca="false">IFERROR(INDEX('⚡ COMMAND TRACKER'!$AC$5:$AC$204,IFERROR(MATCH(SMALL(IF('⚡ COMMAND TRACKER'!$AC$5:$AC$204&lt;="",9999999,'⚡ COMMAND TRACKER'!$AC$5:$AC$204),16),'⚡ COMMAND TRACKER'!$AC$5:$AC$204,0),"")),"")</f>
        <v/>
      </c>
      <c r="K19" s="16" t="str">
        <f aca="true">IFERROR(IF(J19="","",TODAY()-J19),"")</f>
        <v/>
      </c>
    </row>
    <row r="20" customFormat="false" ht="19.5" hidden="false" customHeight="true" outlineLevel="0" collapsed="false">
      <c r="A20" s="18" t="str">
        <f aca="true">IFERROR(IF(INDEX('⚡ COMMAND TRACKER'!$AC$5:$AC$204,IFERROR(MATCH(SMALL(IF('⚡ COMMAND TRACKER'!$AC$5:$AC$204&lt;="",9999999,'⚡ COMMAND TRACKER'!$AC$5:$AC$204),17),'⚡ COMMAND TRACKER'!$AC$5:$AC$204,0),""))-TODAY()&lt;0,"🚨 OVERDUE",IF(INDEX('⚡ COMMAND TRACKER'!$AC$5:$AC$204,IFERROR(MATCH(SMALL(IF('⚡ COMMAND TRACKER'!$AC$5:$AC$204&lt;="",9999999,'⚡ COMMAND TRACKER'!$AC$5:$AC$204),17),'⚡ COMMAND TRACKER'!$AC$5:$AC$204,0),""))-TODAY()&lt;=1,"🔔 DUE NOW","📋 UPCOMING")),"")</f>
        <v/>
      </c>
      <c r="B20" s="17" t="str">
        <f aca="false">IFERROR(INDEX('⚡ COMMAND TRACKER'!$A$5:$A$204,IFERROR(MATCH(SMALL(IF('⚡ COMMAND TRACKER'!$AC$5:$AC$204&lt;="",9999999,'⚡ COMMAND TRACKER'!$AC$5:$AC$204),17),'⚡ COMMAND TRACKER'!$AC$5:$AC$204,0),"")),"")</f>
        <v/>
      </c>
      <c r="C20" s="17" t="str">
        <f aca="false">IFERROR(INDEX('⚡ COMMAND TRACKER'!$E$5:$E$204,IFERROR(MATCH(SMALL(IF('⚡ COMMAND TRACKER'!$AC$5:$AC$204&lt;="",9999999,'⚡ COMMAND TRACKER'!$AC$5:$AC$204),17),'⚡ COMMAND TRACKER'!$AC$5:$AC$204,0),"")),"")</f>
        <v/>
      </c>
      <c r="D20" s="27" t="str">
        <f aca="false">IFERROR(INDEX('⚡ COMMAND TRACKER'!$B$5:$B$204,IFERROR(MATCH(SMALL(IF('⚡ COMMAND TRACKER'!$AC$5:$AC$204&lt;="",9999999,'⚡ COMMAND TRACKER'!$AC$5:$AC$204),17),'⚡ COMMAND TRACKER'!$AC$5:$AC$204,0),"")),"")</f>
        <v/>
      </c>
      <c r="E20" s="34" t="str">
        <f aca="false">IFERROR(INDEX('⚡ COMMAND TRACKER'!$Y$5:$Y$204,IFERROR(MATCH(SMALL(IF('⚡ COMMAND TRACKER'!$AC$5:$AC$204&lt;="",9999999,'⚡ COMMAND TRACKER'!$AC$5:$AC$204),17),'⚡ COMMAND TRACKER'!$AC$5:$AC$204,0),"")),"")</f>
        <v/>
      </c>
      <c r="F20" s="18" t="str">
        <f aca="false">IFERROR(INDEX('⚡ COMMAND TRACKER'!$Z$5:$Z$204,IFERROR(MATCH(SMALL(IF('⚡ COMMAND TRACKER'!$AC$5:$AC$204&lt;="",9999999,'⚡ COMMAND TRACKER'!$AC$5:$AC$204),17),'⚡ COMMAND TRACKER'!$AC$5:$AC$204,0),"")),"")</f>
        <v/>
      </c>
      <c r="G20" s="18" t="str">
        <f aca="false">IFERROR(INDEX('⚡ COMMAND TRACKER'!$U$5:$U$204,IFERROR(MATCH(SMALL(IF('⚡ COMMAND TRACKER'!$AC$5:$AC$204&lt;="",9999999,'⚡ COMMAND TRACKER'!$AC$5:$AC$204),17),'⚡ COMMAND TRACKER'!$AC$5:$AC$204,0),"")),"")</f>
        <v/>
      </c>
      <c r="H20" s="17" t="str">
        <f aca="false">IFERROR(INDEX('⚡ COMMAND TRACKER'!$X$5:$X$204,IFERROR(MATCH(SMALL(IF('⚡ COMMAND TRACKER'!$AC$5:$AC$204&lt;="",9999999,'⚡ COMMAND TRACKER'!$AC$5:$AC$204),17),'⚡ COMMAND TRACKER'!$AC$5:$AC$204,0),"")),"")</f>
        <v/>
      </c>
      <c r="I20" s="21" t="str">
        <f aca="false">IFERROR(INDEX('⚡ COMMAND TRACKER'!$AB$5:$AB$204,IFERROR(MATCH(SMALL(IF('⚡ COMMAND TRACKER'!$AC$5:$AC$204&lt;="",9999999,'⚡ COMMAND TRACKER'!$AC$5:$AC$204),17),'⚡ COMMAND TRACKER'!$AC$5:$AC$204,0),"")),"")</f>
        <v/>
      </c>
      <c r="J20" s="21" t="str">
        <f aca="false">IFERROR(INDEX('⚡ COMMAND TRACKER'!$AC$5:$AC$204,IFERROR(MATCH(SMALL(IF('⚡ COMMAND TRACKER'!$AC$5:$AC$204&lt;="",9999999,'⚡ COMMAND TRACKER'!$AC$5:$AC$204),17),'⚡ COMMAND TRACKER'!$AC$5:$AC$204,0),"")),"")</f>
        <v/>
      </c>
      <c r="K20" s="23" t="str">
        <f aca="true">IFERROR(IF(J20="","",TODAY()-J20),"")</f>
        <v/>
      </c>
    </row>
    <row r="21" customFormat="false" ht="19.5" hidden="false" customHeight="true" outlineLevel="0" collapsed="false">
      <c r="A21" s="11" t="str">
        <f aca="true">IFERROR(IF(INDEX('⚡ COMMAND TRACKER'!$AC$5:$AC$204,IFERROR(MATCH(SMALL(IF('⚡ COMMAND TRACKER'!$AC$5:$AC$204&lt;="",9999999,'⚡ COMMAND TRACKER'!$AC$5:$AC$204),18),'⚡ COMMAND TRACKER'!$AC$5:$AC$204,0),""))-TODAY()&lt;0,"🚨 OVERDUE",IF(INDEX('⚡ COMMAND TRACKER'!$AC$5:$AC$204,IFERROR(MATCH(SMALL(IF('⚡ COMMAND TRACKER'!$AC$5:$AC$204&lt;="",9999999,'⚡ COMMAND TRACKER'!$AC$5:$AC$204),18),'⚡ COMMAND TRACKER'!$AC$5:$AC$204,0),""))-TODAY()&lt;=1,"🔔 DUE NOW","📋 UPCOMING")),"")</f>
        <v/>
      </c>
      <c r="B21" s="10" t="str">
        <f aca="false">IFERROR(INDEX('⚡ COMMAND TRACKER'!$A$5:$A$204,IFERROR(MATCH(SMALL(IF('⚡ COMMAND TRACKER'!$AC$5:$AC$204&lt;="",9999999,'⚡ COMMAND TRACKER'!$AC$5:$AC$204),18),'⚡ COMMAND TRACKER'!$AC$5:$AC$204,0),"")),"")</f>
        <v/>
      </c>
      <c r="C21" s="10" t="str">
        <f aca="false">IFERROR(INDEX('⚡ COMMAND TRACKER'!$E$5:$E$204,IFERROR(MATCH(SMALL(IF('⚡ COMMAND TRACKER'!$AC$5:$AC$204&lt;="",9999999,'⚡ COMMAND TRACKER'!$AC$5:$AC$204),18),'⚡ COMMAND TRACKER'!$AC$5:$AC$204,0),"")),"")</f>
        <v/>
      </c>
      <c r="D21" s="30" t="str">
        <f aca="false">IFERROR(INDEX('⚡ COMMAND TRACKER'!$B$5:$B$204,IFERROR(MATCH(SMALL(IF('⚡ COMMAND TRACKER'!$AC$5:$AC$204&lt;="",9999999,'⚡ COMMAND TRACKER'!$AC$5:$AC$204),18),'⚡ COMMAND TRACKER'!$AC$5:$AC$204,0),"")),"")</f>
        <v/>
      </c>
      <c r="E21" s="35" t="str">
        <f aca="false">IFERROR(INDEX('⚡ COMMAND TRACKER'!$Y$5:$Y$204,IFERROR(MATCH(SMALL(IF('⚡ COMMAND TRACKER'!$AC$5:$AC$204&lt;="",9999999,'⚡ COMMAND TRACKER'!$AC$5:$AC$204),18),'⚡ COMMAND TRACKER'!$AC$5:$AC$204,0),"")),"")</f>
        <v/>
      </c>
      <c r="F21" s="11" t="str">
        <f aca="false">IFERROR(INDEX('⚡ COMMAND TRACKER'!$Z$5:$Z$204,IFERROR(MATCH(SMALL(IF('⚡ COMMAND TRACKER'!$AC$5:$AC$204&lt;="",9999999,'⚡ COMMAND TRACKER'!$AC$5:$AC$204),18),'⚡ COMMAND TRACKER'!$AC$5:$AC$204,0),"")),"")</f>
        <v/>
      </c>
      <c r="G21" s="11" t="str">
        <f aca="false">IFERROR(INDEX('⚡ COMMAND TRACKER'!$U$5:$U$204,IFERROR(MATCH(SMALL(IF('⚡ COMMAND TRACKER'!$AC$5:$AC$204&lt;="",9999999,'⚡ COMMAND TRACKER'!$AC$5:$AC$204),18),'⚡ COMMAND TRACKER'!$AC$5:$AC$204,0),"")),"")</f>
        <v/>
      </c>
      <c r="H21" s="10" t="str">
        <f aca="false">IFERROR(INDEX('⚡ COMMAND TRACKER'!$X$5:$X$204,IFERROR(MATCH(SMALL(IF('⚡ COMMAND TRACKER'!$AC$5:$AC$204&lt;="",9999999,'⚡ COMMAND TRACKER'!$AC$5:$AC$204),18),'⚡ COMMAND TRACKER'!$AC$5:$AC$204,0),"")),"")</f>
        <v/>
      </c>
      <c r="I21" s="14" t="str">
        <f aca="false">IFERROR(INDEX('⚡ COMMAND TRACKER'!$AB$5:$AB$204,IFERROR(MATCH(SMALL(IF('⚡ COMMAND TRACKER'!$AC$5:$AC$204&lt;="",9999999,'⚡ COMMAND TRACKER'!$AC$5:$AC$204),18),'⚡ COMMAND TRACKER'!$AC$5:$AC$204,0),"")),"")</f>
        <v/>
      </c>
      <c r="J21" s="14" t="str">
        <f aca="false">IFERROR(INDEX('⚡ COMMAND TRACKER'!$AC$5:$AC$204,IFERROR(MATCH(SMALL(IF('⚡ COMMAND TRACKER'!$AC$5:$AC$204&lt;="",9999999,'⚡ COMMAND TRACKER'!$AC$5:$AC$204),18),'⚡ COMMAND TRACKER'!$AC$5:$AC$204,0),"")),"")</f>
        <v/>
      </c>
      <c r="K21" s="16" t="str">
        <f aca="true">IFERROR(IF(J21="","",TODAY()-J21),"")</f>
        <v/>
      </c>
    </row>
    <row r="22" customFormat="false" ht="19.5" hidden="false" customHeight="true" outlineLevel="0" collapsed="false">
      <c r="A22" s="18" t="str">
        <f aca="true">IFERROR(IF(INDEX('⚡ COMMAND TRACKER'!$AC$5:$AC$204,IFERROR(MATCH(SMALL(IF('⚡ COMMAND TRACKER'!$AC$5:$AC$204&lt;="",9999999,'⚡ COMMAND TRACKER'!$AC$5:$AC$204),19),'⚡ COMMAND TRACKER'!$AC$5:$AC$204,0),""))-TODAY()&lt;0,"🚨 OVERDUE",IF(INDEX('⚡ COMMAND TRACKER'!$AC$5:$AC$204,IFERROR(MATCH(SMALL(IF('⚡ COMMAND TRACKER'!$AC$5:$AC$204&lt;="",9999999,'⚡ COMMAND TRACKER'!$AC$5:$AC$204),19),'⚡ COMMAND TRACKER'!$AC$5:$AC$204,0),""))-TODAY()&lt;=1,"🔔 DUE NOW","📋 UPCOMING")),"")</f>
        <v/>
      </c>
      <c r="B22" s="17" t="str">
        <f aca="false">IFERROR(INDEX('⚡ COMMAND TRACKER'!$A$5:$A$204,IFERROR(MATCH(SMALL(IF('⚡ COMMAND TRACKER'!$AC$5:$AC$204&lt;="",9999999,'⚡ COMMAND TRACKER'!$AC$5:$AC$204),19),'⚡ COMMAND TRACKER'!$AC$5:$AC$204,0),"")),"")</f>
        <v/>
      </c>
      <c r="C22" s="17" t="str">
        <f aca="false">IFERROR(INDEX('⚡ COMMAND TRACKER'!$E$5:$E$204,IFERROR(MATCH(SMALL(IF('⚡ COMMAND TRACKER'!$AC$5:$AC$204&lt;="",9999999,'⚡ COMMAND TRACKER'!$AC$5:$AC$204),19),'⚡ COMMAND TRACKER'!$AC$5:$AC$204,0),"")),"")</f>
        <v/>
      </c>
      <c r="D22" s="27" t="str">
        <f aca="false">IFERROR(INDEX('⚡ COMMAND TRACKER'!$B$5:$B$204,IFERROR(MATCH(SMALL(IF('⚡ COMMAND TRACKER'!$AC$5:$AC$204&lt;="",9999999,'⚡ COMMAND TRACKER'!$AC$5:$AC$204),19),'⚡ COMMAND TRACKER'!$AC$5:$AC$204,0),"")),"")</f>
        <v/>
      </c>
      <c r="E22" s="34" t="str">
        <f aca="false">IFERROR(INDEX('⚡ COMMAND TRACKER'!$Y$5:$Y$204,IFERROR(MATCH(SMALL(IF('⚡ COMMAND TRACKER'!$AC$5:$AC$204&lt;="",9999999,'⚡ COMMAND TRACKER'!$AC$5:$AC$204),19),'⚡ COMMAND TRACKER'!$AC$5:$AC$204,0),"")),"")</f>
        <v/>
      </c>
      <c r="F22" s="18" t="str">
        <f aca="false">IFERROR(INDEX('⚡ COMMAND TRACKER'!$Z$5:$Z$204,IFERROR(MATCH(SMALL(IF('⚡ COMMAND TRACKER'!$AC$5:$AC$204&lt;="",9999999,'⚡ COMMAND TRACKER'!$AC$5:$AC$204),19),'⚡ COMMAND TRACKER'!$AC$5:$AC$204,0),"")),"")</f>
        <v/>
      </c>
      <c r="G22" s="18" t="str">
        <f aca="false">IFERROR(INDEX('⚡ COMMAND TRACKER'!$U$5:$U$204,IFERROR(MATCH(SMALL(IF('⚡ COMMAND TRACKER'!$AC$5:$AC$204&lt;="",9999999,'⚡ COMMAND TRACKER'!$AC$5:$AC$204),19),'⚡ COMMAND TRACKER'!$AC$5:$AC$204,0),"")),"")</f>
        <v/>
      </c>
      <c r="H22" s="17" t="str">
        <f aca="false">IFERROR(INDEX('⚡ COMMAND TRACKER'!$X$5:$X$204,IFERROR(MATCH(SMALL(IF('⚡ COMMAND TRACKER'!$AC$5:$AC$204&lt;="",9999999,'⚡ COMMAND TRACKER'!$AC$5:$AC$204),19),'⚡ COMMAND TRACKER'!$AC$5:$AC$204,0),"")),"")</f>
        <v/>
      </c>
      <c r="I22" s="21" t="str">
        <f aca="false">IFERROR(INDEX('⚡ COMMAND TRACKER'!$AB$5:$AB$204,IFERROR(MATCH(SMALL(IF('⚡ COMMAND TRACKER'!$AC$5:$AC$204&lt;="",9999999,'⚡ COMMAND TRACKER'!$AC$5:$AC$204),19),'⚡ COMMAND TRACKER'!$AC$5:$AC$204,0),"")),"")</f>
        <v/>
      </c>
      <c r="J22" s="21" t="str">
        <f aca="false">IFERROR(INDEX('⚡ COMMAND TRACKER'!$AC$5:$AC$204,IFERROR(MATCH(SMALL(IF('⚡ COMMAND TRACKER'!$AC$5:$AC$204&lt;="",9999999,'⚡ COMMAND TRACKER'!$AC$5:$AC$204),19),'⚡ COMMAND TRACKER'!$AC$5:$AC$204,0),"")),"")</f>
        <v/>
      </c>
      <c r="K22" s="23" t="str">
        <f aca="true">IFERROR(IF(J22="","",TODAY()-J22),"")</f>
        <v/>
      </c>
    </row>
    <row r="23" customFormat="false" ht="19.5" hidden="false" customHeight="true" outlineLevel="0" collapsed="false">
      <c r="A23" s="11" t="str">
        <f aca="true">IFERROR(IF(INDEX('⚡ COMMAND TRACKER'!$AC$5:$AC$204,IFERROR(MATCH(SMALL(IF('⚡ COMMAND TRACKER'!$AC$5:$AC$204&lt;="",9999999,'⚡ COMMAND TRACKER'!$AC$5:$AC$204),20),'⚡ COMMAND TRACKER'!$AC$5:$AC$204,0),""))-TODAY()&lt;0,"🚨 OVERDUE",IF(INDEX('⚡ COMMAND TRACKER'!$AC$5:$AC$204,IFERROR(MATCH(SMALL(IF('⚡ COMMAND TRACKER'!$AC$5:$AC$204&lt;="",9999999,'⚡ COMMAND TRACKER'!$AC$5:$AC$204),20),'⚡ COMMAND TRACKER'!$AC$5:$AC$204,0),""))-TODAY()&lt;=1,"🔔 DUE NOW","📋 UPCOMING")),"")</f>
        <v/>
      </c>
      <c r="B23" s="10" t="str">
        <f aca="false">IFERROR(INDEX('⚡ COMMAND TRACKER'!$A$5:$A$204,IFERROR(MATCH(SMALL(IF('⚡ COMMAND TRACKER'!$AC$5:$AC$204&lt;="",9999999,'⚡ COMMAND TRACKER'!$AC$5:$AC$204),20),'⚡ COMMAND TRACKER'!$AC$5:$AC$204,0),"")),"")</f>
        <v/>
      </c>
      <c r="C23" s="10" t="str">
        <f aca="false">IFERROR(INDEX('⚡ COMMAND TRACKER'!$E$5:$E$204,IFERROR(MATCH(SMALL(IF('⚡ COMMAND TRACKER'!$AC$5:$AC$204&lt;="",9999999,'⚡ COMMAND TRACKER'!$AC$5:$AC$204),20),'⚡ COMMAND TRACKER'!$AC$5:$AC$204,0),"")),"")</f>
        <v/>
      </c>
      <c r="D23" s="30" t="str">
        <f aca="false">IFERROR(INDEX('⚡ COMMAND TRACKER'!$B$5:$B$204,IFERROR(MATCH(SMALL(IF('⚡ COMMAND TRACKER'!$AC$5:$AC$204&lt;="",9999999,'⚡ COMMAND TRACKER'!$AC$5:$AC$204),20),'⚡ COMMAND TRACKER'!$AC$5:$AC$204,0),"")),"")</f>
        <v/>
      </c>
      <c r="E23" s="35" t="str">
        <f aca="false">IFERROR(INDEX('⚡ COMMAND TRACKER'!$Y$5:$Y$204,IFERROR(MATCH(SMALL(IF('⚡ COMMAND TRACKER'!$AC$5:$AC$204&lt;="",9999999,'⚡ COMMAND TRACKER'!$AC$5:$AC$204),20),'⚡ COMMAND TRACKER'!$AC$5:$AC$204,0),"")),"")</f>
        <v/>
      </c>
      <c r="F23" s="11" t="str">
        <f aca="false">IFERROR(INDEX('⚡ COMMAND TRACKER'!$Z$5:$Z$204,IFERROR(MATCH(SMALL(IF('⚡ COMMAND TRACKER'!$AC$5:$AC$204&lt;="",9999999,'⚡ COMMAND TRACKER'!$AC$5:$AC$204),20),'⚡ COMMAND TRACKER'!$AC$5:$AC$204,0),"")),"")</f>
        <v/>
      </c>
      <c r="G23" s="11" t="str">
        <f aca="false">IFERROR(INDEX('⚡ COMMAND TRACKER'!$U$5:$U$204,IFERROR(MATCH(SMALL(IF('⚡ COMMAND TRACKER'!$AC$5:$AC$204&lt;="",9999999,'⚡ COMMAND TRACKER'!$AC$5:$AC$204),20),'⚡ COMMAND TRACKER'!$AC$5:$AC$204,0),"")),"")</f>
        <v/>
      </c>
      <c r="H23" s="10" t="str">
        <f aca="false">IFERROR(INDEX('⚡ COMMAND TRACKER'!$X$5:$X$204,IFERROR(MATCH(SMALL(IF('⚡ COMMAND TRACKER'!$AC$5:$AC$204&lt;="",9999999,'⚡ COMMAND TRACKER'!$AC$5:$AC$204),20),'⚡ COMMAND TRACKER'!$AC$5:$AC$204,0),"")),"")</f>
        <v/>
      </c>
      <c r="I23" s="14" t="str">
        <f aca="false">IFERROR(INDEX('⚡ COMMAND TRACKER'!$AB$5:$AB$204,IFERROR(MATCH(SMALL(IF('⚡ COMMAND TRACKER'!$AC$5:$AC$204&lt;="",9999999,'⚡ COMMAND TRACKER'!$AC$5:$AC$204),20),'⚡ COMMAND TRACKER'!$AC$5:$AC$204,0),"")),"")</f>
        <v/>
      </c>
      <c r="J23" s="14" t="str">
        <f aca="false">IFERROR(INDEX('⚡ COMMAND TRACKER'!$AC$5:$AC$204,IFERROR(MATCH(SMALL(IF('⚡ COMMAND TRACKER'!$AC$5:$AC$204&lt;="",9999999,'⚡ COMMAND TRACKER'!$AC$5:$AC$204),20),'⚡ COMMAND TRACKER'!$AC$5:$AC$204,0),"")),"")</f>
        <v/>
      </c>
      <c r="K23" s="16" t="str">
        <f aca="true">IFERROR(IF(J23="","",TODAY()-J23),"")</f>
        <v/>
      </c>
    </row>
    <row r="24" customFormat="false" ht="19.5" hidden="false" customHeight="true" outlineLevel="0" collapsed="false">
      <c r="A24" s="18" t="str">
        <f aca="true">IFERROR(IF(INDEX('⚡ COMMAND TRACKER'!$AC$5:$AC$204,IFERROR(MATCH(SMALL(IF('⚡ COMMAND TRACKER'!$AC$5:$AC$204&lt;="",9999999,'⚡ COMMAND TRACKER'!$AC$5:$AC$204),21),'⚡ COMMAND TRACKER'!$AC$5:$AC$204,0),""))-TODAY()&lt;0,"🚨 OVERDUE",IF(INDEX('⚡ COMMAND TRACKER'!$AC$5:$AC$204,IFERROR(MATCH(SMALL(IF('⚡ COMMAND TRACKER'!$AC$5:$AC$204&lt;="",9999999,'⚡ COMMAND TRACKER'!$AC$5:$AC$204),21),'⚡ COMMAND TRACKER'!$AC$5:$AC$204,0),""))-TODAY()&lt;=1,"🔔 DUE NOW","📋 UPCOMING")),"")</f>
        <v/>
      </c>
      <c r="B24" s="17" t="str">
        <f aca="false">IFERROR(INDEX('⚡ COMMAND TRACKER'!$A$5:$A$204,IFERROR(MATCH(SMALL(IF('⚡ COMMAND TRACKER'!$AC$5:$AC$204&lt;="",9999999,'⚡ COMMAND TRACKER'!$AC$5:$AC$204),21),'⚡ COMMAND TRACKER'!$AC$5:$AC$204,0),"")),"")</f>
        <v/>
      </c>
      <c r="C24" s="17" t="str">
        <f aca="false">IFERROR(INDEX('⚡ COMMAND TRACKER'!$E$5:$E$204,IFERROR(MATCH(SMALL(IF('⚡ COMMAND TRACKER'!$AC$5:$AC$204&lt;="",9999999,'⚡ COMMAND TRACKER'!$AC$5:$AC$204),21),'⚡ COMMAND TRACKER'!$AC$5:$AC$204,0),"")),"")</f>
        <v/>
      </c>
      <c r="D24" s="27" t="str">
        <f aca="false">IFERROR(INDEX('⚡ COMMAND TRACKER'!$B$5:$B$204,IFERROR(MATCH(SMALL(IF('⚡ COMMAND TRACKER'!$AC$5:$AC$204&lt;="",9999999,'⚡ COMMAND TRACKER'!$AC$5:$AC$204),21),'⚡ COMMAND TRACKER'!$AC$5:$AC$204,0),"")),"")</f>
        <v/>
      </c>
      <c r="E24" s="34" t="str">
        <f aca="false">IFERROR(INDEX('⚡ COMMAND TRACKER'!$Y$5:$Y$204,IFERROR(MATCH(SMALL(IF('⚡ COMMAND TRACKER'!$AC$5:$AC$204&lt;="",9999999,'⚡ COMMAND TRACKER'!$AC$5:$AC$204),21),'⚡ COMMAND TRACKER'!$AC$5:$AC$204,0),"")),"")</f>
        <v/>
      </c>
      <c r="F24" s="18" t="str">
        <f aca="false">IFERROR(INDEX('⚡ COMMAND TRACKER'!$Z$5:$Z$204,IFERROR(MATCH(SMALL(IF('⚡ COMMAND TRACKER'!$AC$5:$AC$204&lt;="",9999999,'⚡ COMMAND TRACKER'!$AC$5:$AC$204),21),'⚡ COMMAND TRACKER'!$AC$5:$AC$204,0),"")),"")</f>
        <v/>
      </c>
      <c r="G24" s="18" t="str">
        <f aca="false">IFERROR(INDEX('⚡ COMMAND TRACKER'!$U$5:$U$204,IFERROR(MATCH(SMALL(IF('⚡ COMMAND TRACKER'!$AC$5:$AC$204&lt;="",9999999,'⚡ COMMAND TRACKER'!$AC$5:$AC$204),21),'⚡ COMMAND TRACKER'!$AC$5:$AC$204,0),"")),"")</f>
        <v/>
      </c>
      <c r="H24" s="17" t="str">
        <f aca="false">IFERROR(INDEX('⚡ COMMAND TRACKER'!$X$5:$X$204,IFERROR(MATCH(SMALL(IF('⚡ COMMAND TRACKER'!$AC$5:$AC$204&lt;="",9999999,'⚡ COMMAND TRACKER'!$AC$5:$AC$204),21),'⚡ COMMAND TRACKER'!$AC$5:$AC$204,0),"")),"")</f>
        <v/>
      </c>
      <c r="I24" s="21" t="str">
        <f aca="false">IFERROR(INDEX('⚡ COMMAND TRACKER'!$AB$5:$AB$204,IFERROR(MATCH(SMALL(IF('⚡ COMMAND TRACKER'!$AC$5:$AC$204&lt;="",9999999,'⚡ COMMAND TRACKER'!$AC$5:$AC$204),21),'⚡ COMMAND TRACKER'!$AC$5:$AC$204,0),"")),"")</f>
        <v/>
      </c>
      <c r="J24" s="21" t="str">
        <f aca="false">IFERROR(INDEX('⚡ COMMAND TRACKER'!$AC$5:$AC$204,IFERROR(MATCH(SMALL(IF('⚡ COMMAND TRACKER'!$AC$5:$AC$204&lt;="",9999999,'⚡ COMMAND TRACKER'!$AC$5:$AC$204),21),'⚡ COMMAND TRACKER'!$AC$5:$AC$204,0),"")),"")</f>
        <v/>
      </c>
      <c r="K24" s="23" t="str">
        <f aca="true">IFERROR(IF(J24="","",TODAY()-J24),"")</f>
        <v/>
      </c>
    </row>
    <row r="25" customFormat="false" ht="19.5" hidden="false" customHeight="true" outlineLevel="0" collapsed="false">
      <c r="A25" s="11" t="str">
        <f aca="true">IFERROR(IF(INDEX('⚡ COMMAND TRACKER'!$AC$5:$AC$204,IFERROR(MATCH(SMALL(IF('⚡ COMMAND TRACKER'!$AC$5:$AC$204&lt;="",9999999,'⚡ COMMAND TRACKER'!$AC$5:$AC$204),22),'⚡ COMMAND TRACKER'!$AC$5:$AC$204,0),""))-TODAY()&lt;0,"🚨 OVERDUE",IF(INDEX('⚡ COMMAND TRACKER'!$AC$5:$AC$204,IFERROR(MATCH(SMALL(IF('⚡ COMMAND TRACKER'!$AC$5:$AC$204&lt;="",9999999,'⚡ COMMAND TRACKER'!$AC$5:$AC$204),22),'⚡ COMMAND TRACKER'!$AC$5:$AC$204,0),""))-TODAY()&lt;=1,"🔔 DUE NOW","📋 UPCOMING")),"")</f>
        <v/>
      </c>
      <c r="B25" s="10" t="str">
        <f aca="false">IFERROR(INDEX('⚡ COMMAND TRACKER'!$A$5:$A$204,IFERROR(MATCH(SMALL(IF('⚡ COMMAND TRACKER'!$AC$5:$AC$204&lt;="",9999999,'⚡ COMMAND TRACKER'!$AC$5:$AC$204),22),'⚡ COMMAND TRACKER'!$AC$5:$AC$204,0),"")),"")</f>
        <v/>
      </c>
      <c r="C25" s="10" t="str">
        <f aca="false">IFERROR(INDEX('⚡ COMMAND TRACKER'!$E$5:$E$204,IFERROR(MATCH(SMALL(IF('⚡ COMMAND TRACKER'!$AC$5:$AC$204&lt;="",9999999,'⚡ COMMAND TRACKER'!$AC$5:$AC$204),22),'⚡ COMMAND TRACKER'!$AC$5:$AC$204,0),"")),"")</f>
        <v/>
      </c>
      <c r="D25" s="30" t="str">
        <f aca="false">IFERROR(INDEX('⚡ COMMAND TRACKER'!$B$5:$B$204,IFERROR(MATCH(SMALL(IF('⚡ COMMAND TRACKER'!$AC$5:$AC$204&lt;="",9999999,'⚡ COMMAND TRACKER'!$AC$5:$AC$204),22),'⚡ COMMAND TRACKER'!$AC$5:$AC$204,0),"")),"")</f>
        <v/>
      </c>
      <c r="E25" s="35" t="str">
        <f aca="false">IFERROR(INDEX('⚡ COMMAND TRACKER'!$Y$5:$Y$204,IFERROR(MATCH(SMALL(IF('⚡ COMMAND TRACKER'!$AC$5:$AC$204&lt;="",9999999,'⚡ COMMAND TRACKER'!$AC$5:$AC$204),22),'⚡ COMMAND TRACKER'!$AC$5:$AC$204,0),"")),"")</f>
        <v/>
      </c>
      <c r="F25" s="11" t="str">
        <f aca="false">IFERROR(INDEX('⚡ COMMAND TRACKER'!$Z$5:$Z$204,IFERROR(MATCH(SMALL(IF('⚡ COMMAND TRACKER'!$AC$5:$AC$204&lt;="",9999999,'⚡ COMMAND TRACKER'!$AC$5:$AC$204),22),'⚡ COMMAND TRACKER'!$AC$5:$AC$204,0),"")),"")</f>
        <v/>
      </c>
      <c r="G25" s="11" t="str">
        <f aca="false">IFERROR(INDEX('⚡ COMMAND TRACKER'!$U$5:$U$204,IFERROR(MATCH(SMALL(IF('⚡ COMMAND TRACKER'!$AC$5:$AC$204&lt;="",9999999,'⚡ COMMAND TRACKER'!$AC$5:$AC$204),22),'⚡ COMMAND TRACKER'!$AC$5:$AC$204,0),"")),"")</f>
        <v/>
      </c>
      <c r="H25" s="10" t="str">
        <f aca="false">IFERROR(INDEX('⚡ COMMAND TRACKER'!$X$5:$X$204,IFERROR(MATCH(SMALL(IF('⚡ COMMAND TRACKER'!$AC$5:$AC$204&lt;="",9999999,'⚡ COMMAND TRACKER'!$AC$5:$AC$204),22),'⚡ COMMAND TRACKER'!$AC$5:$AC$204,0),"")),"")</f>
        <v/>
      </c>
      <c r="I25" s="14" t="str">
        <f aca="false">IFERROR(INDEX('⚡ COMMAND TRACKER'!$AB$5:$AB$204,IFERROR(MATCH(SMALL(IF('⚡ COMMAND TRACKER'!$AC$5:$AC$204&lt;="",9999999,'⚡ COMMAND TRACKER'!$AC$5:$AC$204),22),'⚡ COMMAND TRACKER'!$AC$5:$AC$204,0),"")),"")</f>
        <v/>
      </c>
      <c r="J25" s="14" t="str">
        <f aca="false">IFERROR(INDEX('⚡ COMMAND TRACKER'!$AC$5:$AC$204,IFERROR(MATCH(SMALL(IF('⚡ COMMAND TRACKER'!$AC$5:$AC$204&lt;="",9999999,'⚡ COMMAND TRACKER'!$AC$5:$AC$204),22),'⚡ COMMAND TRACKER'!$AC$5:$AC$204,0),"")),"")</f>
        <v/>
      </c>
      <c r="K25" s="16" t="str">
        <f aca="true">IFERROR(IF(J25="","",TODAY()-J25),"")</f>
        <v/>
      </c>
    </row>
    <row r="26" customFormat="false" ht="19.5" hidden="false" customHeight="true" outlineLevel="0" collapsed="false">
      <c r="A26" s="18" t="str">
        <f aca="true">IFERROR(IF(INDEX('⚡ COMMAND TRACKER'!$AC$5:$AC$204,IFERROR(MATCH(SMALL(IF('⚡ COMMAND TRACKER'!$AC$5:$AC$204&lt;="",9999999,'⚡ COMMAND TRACKER'!$AC$5:$AC$204),23),'⚡ COMMAND TRACKER'!$AC$5:$AC$204,0),""))-TODAY()&lt;0,"🚨 OVERDUE",IF(INDEX('⚡ COMMAND TRACKER'!$AC$5:$AC$204,IFERROR(MATCH(SMALL(IF('⚡ COMMAND TRACKER'!$AC$5:$AC$204&lt;="",9999999,'⚡ COMMAND TRACKER'!$AC$5:$AC$204),23),'⚡ COMMAND TRACKER'!$AC$5:$AC$204,0),""))-TODAY()&lt;=1,"🔔 DUE NOW","📋 UPCOMING")),"")</f>
        <v/>
      </c>
      <c r="B26" s="17" t="str">
        <f aca="false">IFERROR(INDEX('⚡ COMMAND TRACKER'!$A$5:$A$204,IFERROR(MATCH(SMALL(IF('⚡ COMMAND TRACKER'!$AC$5:$AC$204&lt;="",9999999,'⚡ COMMAND TRACKER'!$AC$5:$AC$204),23),'⚡ COMMAND TRACKER'!$AC$5:$AC$204,0),"")),"")</f>
        <v/>
      </c>
      <c r="C26" s="17" t="str">
        <f aca="false">IFERROR(INDEX('⚡ COMMAND TRACKER'!$E$5:$E$204,IFERROR(MATCH(SMALL(IF('⚡ COMMAND TRACKER'!$AC$5:$AC$204&lt;="",9999999,'⚡ COMMAND TRACKER'!$AC$5:$AC$204),23),'⚡ COMMAND TRACKER'!$AC$5:$AC$204,0),"")),"")</f>
        <v/>
      </c>
      <c r="D26" s="27" t="str">
        <f aca="false">IFERROR(INDEX('⚡ COMMAND TRACKER'!$B$5:$B$204,IFERROR(MATCH(SMALL(IF('⚡ COMMAND TRACKER'!$AC$5:$AC$204&lt;="",9999999,'⚡ COMMAND TRACKER'!$AC$5:$AC$204),23),'⚡ COMMAND TRACKER'!$AC$5:$AC$204,0),"")),"")</f>
        <v/>
      </c>
      <c r="E26" s="34" t="str">
        <f aca="false">IFERROR(INDEX('⚡ COMMAND TRACKER'!$Y$5:$Y$204,IFERROR(MATCH(SMALL(IF('⚡ COMMAND TRACKER'!$AC$5:$AC$204&lt;="",9999999,'⚡ COMMAND TRACKER'!$AC$5:$AC$204),23),'⚡ COMMAND TRACKER'!$AC$5:$AC$204,0),"")),"")</f>
        <v/>
      </c>
      <c r="F26" s="18" t="str">
        <f aca="false">IFERROR(INDEX('⚡ COMMAND TRACKER'!$Z$5:$Z$204,IFERROR(MATCH(SMALL(IF('⚡ COMMAND TRACKER'!$AC$5:$AC$204&lt;="",9999999,'⚡ COMMAND TRACKER'!$AC$5:$AC$204),23),'⚡ COMMAND TRACKER'!$AC$5:$AC$204,0),"")),"")</f>
        <v/>
      </c>
      <c r="G26" s="18" t="str">
        <f aca="false">IFERROR(INDEX('⚡ COMMAND TRACKER'!$U$5:$U$204,IFERROR(MATCH(SMALL(IF('⚡ COMMAND TRACKER'!$AC$5:$AC$204&lt;="",9999999,'⚡ COMMAND TRACKER'!$AC$5:$AC$204),23),'⚡ COMMAND TRACKER'!$AC$5:$AC$204,0),"")),"")</f>
        <v/>
      </c>
      <c r="H26" s="17" t="str">
        <f aca="false">IFERROR(INDEX('⚡ COMMAND TRACKER'!$X$5:$X$204,IFERROR(MATCH(SMALL(IF('⚡ COMMAND TRACKER'!$AC$5:$AC$204&lt;="",9999999,'⚡ COMMAND TRACKER'!$AC$5:$AC$204),23),'⚡ COMMAND TRACKER'!$AC$5:$AC$204,0),"")),"")</f>
        <v/>
      </c>
      <c r="I26" s="21" t="str">
        <f aca="false">IFERROR(INDEX('⚡ COMMAND TRACKER'!$AB$5:$AB$204,IFERROR(MATCH(SMALL(IF('⚡ COMMAND TRACKER'!$AC$5:$AC$204&lt;="",9999999,'⚡ COMMAND TRACKER'!$AC$5:$AC$204),23),'⚡ COMMAND TRACKER'!$AC$5:$AC$204,0),"")),"")</f>
        <v/>
      </c>
      <c r="J26" s="21" t="str">
        <f aca="false">IFERROR(INDEX('⚡ COMMAND TRACKER'!$AC$5:$AC$204,IFERROR(MATCH(SMALL(IF('⚡ COMMAND TRACKER'!$AC$5:$AC$204&lt;="",9999999,'⚡ COMMAND TRACKER'!$AC$5:$AC$204),23),'⚡ COMMAND TRACKER'!$AC$5:$AC$204,0),"")),"")</f>
        <v/>
      </c>
      <c r="K26" s="23" t="str">
        <f aca="true">IFERROR(IF(J26="","",TODAY()-J26),"")</f>
        <v/>
      </c>
    </row>
    <row r="27" customFormat="false" ht="19.5" hidden="false" customHeight="true" outlineLevel="0" collapsed="false">
      <c r="A27" s="11" t="str">
        <f aca="true">IFERROR(IF(INDEX('⚡ COMMAND TRACKER'!$AC$5:$AC$204,IFERROR(MATCH(SMALL(IF('⚡ COMMAND TRACKER'!$AC$5:$AC$204&lt;="",9999999,'⚡ COMMAND TRACKER'!$AC$5:$AC$204),24),'⚡ COMMAND TRACKER'!$AC$5:$AC$204,0),""))-TODAY()&lt;0,"🚨 OVERDUE",IF(INDEX('⚡ COMMAND TRACKER'!$AC$5:$AC$204,IFERROR(MATCH(SMALL(IF('⚡ COMMAND TRACKER'!$AC$5:$AC$204&lt;="",9999999,'⚡ COMMAND TRACKER'!$AC$5:$AC$204),24),'⚡ COMMAND TRACKER'!$AC$5:$AC$204,0),""))-TODAY()&lt;=1,"🔔 DUE NOW","📋 UPCOMING")),"")</f>
        <v/>
      </c>
      <c r="B27" s="10" t="str">
        <f aca="false">IFERROR(INDEX('⚡ COMMAND TRACKER'!$A$5:$A$204,IFERROR(MATCH(SMALL(IF('⚡ COMMAND TRACKER'!$AC$5:$AC$204&lt;="",9999999,'⚡ COMMAND TRACKER'!$AC$5:$AC$204),24),'⚡ COMMAND TRACKER'!$AC$5:$AC$204,0),"")),"")</f>
        <v/>
      </c>
      <c r="C27" s="10" t="str">
        <f aca="false">IFERROR(INDEX('⚡ COMMAND TRACKER'!$E$5:$E$204,IFERROR(MATCH(SMALL(IF('⚡ COMMAND TRACKER'!$AC$5:$AC$204&lt;="",9999999,'⚡ COMMAND TRACKER'!$AC$5:$AC$204),24),'⚡ COMMAND TRACKER'!$AC$5:$AC$204,0),"")),"")</f>
        <v/>
      </c>
      <c r="D27" s="30" t="str">
        <f aca="false">IFERROR(INDEX('⚡ COMMAND TRACKER'!$B$5:$B$204,IFERROR(MATCH(SMALL(IF('⚡ COMMAND TRACKER'!$AC$5:$AC$204&lt;="",9999999,'⚡ COMMAND TRACKER'!$AC$5:$AC$204),24),'⚡ COMMAND TRACKER'!$AC$5:$AC$204,0),"")),"")</f>
        <v/>
      </c>
      <c r="E27" s="35" t="str">
        <f aca="false">IFERROR(INDEX('⚡ COMMAND TRACKER'!$Y$5:$Y$204,IFERROR(MATCH(SMALL(IF('⚡ COMMAND TRACKER'!$AC$5:$AC$204&lt;="",9999999,'⚡ COMMAND TRACKER'!$AC$5:$AC$204),24),'⚡ COMMAND TRACKER'!$AC$5:$AC$204,0),"")),"")</f>
        <v/>
      </c>
      <c r="F27" s="11" t="str">
        <f aca="false">IFERROR(INDEX('⚡ COMMAND TRACKER'!$Z$5:$Z$204,IFERROR(MATCH(SMALL(IF('⚡ COMMAND TRACKER'!$AC$5:$AC$204&lt;="",9999999,'⚡ COMMAND TRACKER'!$AC$5:$AC$204),24),'⚡ COMMAND TRACKER'!$AC$5:$AC$204,0),"")),"")</f>
        <v/>
      </c>
      <c r="G27" s="11" t="str">
        <f aca="false">IFERROR(INDEX('⚡ COMMAND TRACKER'!$U$5:$U$204,IFERROR(MATCH(SMALL(IF('⚡ COMMAND TRACKER'!$AC$5:$AC$204&lt;="",9999999,'⚡ COMMAND TRACKER'!$AC$5:$AC$204),24),'⚡ COMMAND TRACKER'!$AC$5:$AC$204,0),"")),"")</f>
        <v/>
      </c>
      <c r="H27" s="10" t="str">
        <f aca="false">IFERROR(INDEX('⚡ COMMAND TRACKER'!$X$5:$X$204,IFERROR(MATCH(SMALL(IF('⚡ COMMAND TRACKER'!$AC$5:$AC$204&lt;="",9999999,'⚡ COMMAND TRACKER'!$AC$5:$AC$204),24),'⚡ COMMAND TRACKER'!$AC$5:$AC$204,0),"")),"")</f>
        <v/>
      </c>
      <c r="I27" s="14" t="str">
        <f aca="false">IFERROR(INDEX('⚡ COMMAND TRACKER'!$AB$5:$AB$204,IFERROR(MATCH(SMALL(IF('⚡ COMMAND TRACKER'!$AC$5:$AC$204&lt;="",9999999,'⚡ COMMAND TRACKER'!$AC$5:$AC$204),24),'⚡ COMMAND TRACKER'!$AC$5:$AC$204,0),"")),"")</f>
        <v/>
      </c>
      <c r="J27" s="14" t="str">
        <f aca="false">IFERROR(INDEX('⚡ COMMAND TRACKER'!$AC$5:$AC$204,IFERROR(MATCH(SMALL(IF('⚡ COMMAND TRACKER'!$AC$5:$AC$204&lt;="",9999999,'⚡ COMMAND TRACKER'!$AC$5:$AC$204),24),'⚡ COMMAND TRACKER'!$AC$5:$AC$204,0),"")),"")</f>
        <v/>
      </c>
      <c r="K27" s="16" t="str">
        <f aca="true">IFERROR(IF(J27="","",TODAY()-J27),"")</f>
        <v/>
      </c>
    </row>
    <row r="28" customFormat="false" ht="19.5" hidden="false" customHeight="true" outlineLevel="0" collapsed="false">
      <c r="A28" s="18" t="str">
        <f aca="true">IFERROR(IF(INDEX('⚡ COMMAND TRACKER'!$AC$5:$AC$204,IFERROR(MATCH(SMALL(IF('⚡ COMMAND TRACKER'!$AC$5:$AC$204&lt;="",9999999,'⚡ COMMAND TRACKER'!$AC$5:$AC$204),25),'⚡ COMMAND TRACKER'!$AC$5:$AC$204,0),""))-TODAY()&lt;0,"🚨 OVERDUE",IF(INDEX('⚡ COMMAND TRACKER'!$AC$5:$AC$204,IFERROR(MATCH(SMALL(IF('⚡ COMMAND TRACKER'!$AC$5:$AC$204&lt;="",9999999,'⚡ COMMAND TRACKER'!$AC$5:$AC$204),25),'⚡ COMMAND TRACKER'!$AC$5:$AC$204,0),""))-TODAY()&lt;=1,"🔔 DUE NOW","📋 UPCOMING")),"")</f>
        <v/>
      </c>
      <c r="B28" s="17" t="str">
        <f aca="false">IFERROR(INDEX('⚡ COMMAND TRACKER'!$A$5:$A$204,IFERROR(MATCH(SMALL(IF('⚡ COMMAND TRACKER'!$AC$5:$AC$204&lt;="",9999999,'⚡ COMMAND TRACKER'!$AC$5:$AC$204),25),'⚡ COMMAND TRACKER'!$AC$5:$AC$204,0),"")),"")</f>
        <v/>
      </c>
      <c r="C28" s="17" t="str">
        <f aca="false">IFERROR(INDEX('⚡ COMMAND TRACKER'!$E$5:$E$204,IFERROR(MATCH(SMALL(IF('⚡ COMMAND TRACKER'!$AC$5:$AC$204&lt;="",9999999,'⚡ COMMAND TRACKER'!$AC$5:$AC$204),25),'⚡ COMMAND TRACKER'!$AC$5:$AC$204,0),"")),"")</f>
        <v/>
      </c>
      <c r="D28" s="27" t="str">
        <f aca="false">IFERROR(INDEX('⚡ COMMAND TRACKER'!$B$5:$B$204,IFERROR(MATCH(SMALL(IF('⚡ COMMAND TRACKER'!$AC$5:$AC$204&lt;="",9999999,'⚡ COMMAND TRACKER'!$AC$5:$AC$204),25),'⚡ COMMAND TRACKER'!$AC$5:$AC$204,0),"")),"")</f>
        <v/>
      </c>
      <c r="E28" s="34" t="str">
        <f aca="false">IFERROR(INDEX('⚡ COMMAND TRACKER'!$Y$5:$Y$204,IFERROR(MATCH(SMALL(IF('⚡ COMMAND TRACKER'!$AC$5:$AC$204&lt;="",9999999,'⚡ COMMAND TRACKER'!$AC$5:$AC$204),25),'⚡ COMMAND TRACKER'!$AC$5:$AC$204,0),"")),"")</f>
        <v/>
      </c>
      <c r="F28" s="18" t="str">
        <f aca="false">IFERROR(INDEX('⚡ COMMAND TRACKER'!$Z$5:$Z$204,IFERROR(MATCH(SMALL(IF('⚡ COMMAND TRACKER'!$AC$5:$AC$204&lt;="",9999999,'⚡ COMMAND TRACKER'!$AC$5:$AC$204),25),'⚡ COMMAND TRACKER'!$AC$5:$AC$204,0),"")),"")</f>
        <v/>
      </c>
      <c r="G28" s="18" t="str">
        <f aca="false">IFERROR(INDEX('⚡ COMMAND TRACKER'!$U$5:$U$204,IFERROR(MATCH(SMALL(IF('⚡ COMMAND TRACKER'!$AC$5:$AC$204&lt;="",9999999,'⚡ COMMAND TRACKER'!$AC$5:$AC$204),25),'⚡ COMMAND TRACKER'!$AC$5:$AC$204,0),"")),"")</f>
        <v/>
      </c>
      <c r="H28" s="17" t="str">
        <f aca="false">IFERROR(INDEX('⚡ COMMAND TRACKER'!$X$5:$X$204,IFERROR(MATCH(SMALL(IF('⚡ COMMAND TRACKER'!$AC$5:$AC$204&lt;="",9999999,'⚡ COMMAND TRACKER'!$AC$5:$AC$204),25),'⚡ COMMAND TRACKER'!$AC$5:$AC$204,0),"")),"")</f>
        <v/>
      </c>
      <c r="I28" s="21" t="str">
        <f aca="false">IFERROR(INDEX('⚡ COMMAND TRACKER'!$AB$5:$AB$204,IFERROR(MATCH(SMALL(IF('⚡ COMMAND TRACKER'!$AC$5:$AC$204&lt;="",9999999,'⚡ COMMAND TRACKER'!$AC$5:$AC$204),25),'⚡ COMMAND TRACKER'!$AC$5:$AC$204,0),"")),"")</f>
        <v/>
      </c>
      <c r="J28" s="21" t="str">
        <f aca="false">IFERROR(INDEX('⚡ COMMAND TRACKER'!$AC$5:$AC$204,IFERROR(MATCH(SMALL(IF('⚡ COMMAND TRACKER'!$AC$5:$AC$204&lt;="",9999999,'⚡ COMMAND TRACKER'!$AC$5:$AC$204),25),'⚡ COMMAND TRACKER'!$AC$5:$AC$204,0),"")),"")</f>
        <v/>
      </c>
      <c r="K28" s="23" t="str">
        <f aca="true">IFERROR(IF(J28="","",TODAY()-J28),"")</f>
        <v/>
      </c>
    </row>
    <row r="29" customFormat="false" ht="19.5" hidden="false" customHeight="true" outlineLevel="0" collapsed="false">
      <c r="A29" s="11" t="str">
        <f aca="true">IFERROR(IF(INDEX('⚡ COMMAND TRACKER'!$AC$5:$AC$204,IFERROR(MATCH(SMALL(IF('⚡ COMMAND TRACKER'!$AC$5:$AC$204&lt;="",9999999,'⚡ COMMAND TRACKER'!$AC$5:$AC$204),26),'⚡ COMMAND TRACKER'!$AC$5:$AC$204,0),""))-TODAY()&lt;0,"🚨 OVERDUE",IF(INDEX('⚡ COMMAND TRACKER'!$AC$5:$AC$204,IFERROR(MATCH(SMALL(IF('⚡ COMMAND TRACKER'!$AC$5:$AC$204&lt;="",9999999,'⚡ COMMAND TRACKER'!$AC$5:$AC$204),26),'⚡ COMMAND TRACKER'!$AC$5:$AC$204,0),""))-TODAY()&lt;=1,"🔔 DUE NOW","📋 UPCOMING")),"")</f>
        <v/>
      </c>
      <c r="B29" s="10" t="str">
        <f aca="false">IFERROR(INDEX('⚡ COMMAND TRACKER'!$A$5:$A$204,IFERROR(MATCH(SMALL(IF('⚡ COMMAND TRACKER'!$AC$5:$AC$204&lt;="",9999999,'⚡ COMMAND TRACKER'!$AC$5:$AC$204),26),'⚡ COMMAND TRACKER'!$AC$5:$AC$204,0),"")),"")</f>
        <v/>
      </c>
      <c r="C29" s="10" t="str">
        <f aca="false">IFERROR(INDEX('⚡ COMMAND TRACKER'!$E$5:$E$204,IFERROR(MATCH(SMALL(IF('⚡ COMMAND TRACKER'!$AC$5:$AC$204&lt;="",9999999,'⚡ COMMAND TRACKER'!$AC$5:$AC$204),26),'⚡ COMMAND TRACKER'!$AC$5:$AC$204,0),"")),"")</f>
        <v/>
      </c>
      <c r="D29" s="30" t="str">
        <f aca="false">IFERROR(INDEX('⚡ COMMAND TRACKER'!$B$5:$B$204,IFERROR(MATCH(SMALL(IF('⚡ COMMAND TRACKER'!$AC$5:$AC$204&lt;="",9999999,'⚡ COMMAND TRACKER'!$AC$5:$AC$204),26),'⚡ COMMAND TRACKER'!$AC$5:$AC$204,0),"")),"")</f>
        <v/>
      </c>
      <c r="E29" s="35" t="str">
        <f aca="false">IFERROR(INDEX('⚡ COMMAND TRACKER'!$Y$5:$Y$204,IFERROR(MATCH(SMALL(IF('⚡ COMMAND TRACKER'!$AC$5:$AC$204&lt;="",9999999,'⚡ COMMAND TRACKER'!$AC$5:$AC$204),26),'⚡ COMMAND TRACKER'!$AC$5:$AC$204,0),"")),"")</f>
        <v/>
      </c>
      <c r="F29" s="11" t="str">
        <f aca="false">IFERROR(INDEX('⚡ COMMAND TRACKER'!$Z$5:$Z$204,IFERROR(MATCH(SMALL(IF('⚡ COMMAND TRACKER'!$AC$5:$AC$204&lt;="",9999999,'⚡ COMMAND TRACKER'!$AC$5:$AC$204),26),'⚡ COMMAND TRACKER'!$AC$5:$AC$204,0),"")),"")</f>
        <v/>
      </c>
      <c r="G29" s="11" t="str">
        <f aca="false">IFERROR(INDEX('⚡ COMMAND TRACKER'!$U$5:$U$204,IFERROR(MATCH(SMALL(IF('⚡ COMMAND TRACKER'!$AC$5:$AC$204&lt;="",9999999,'⚡ COMMAND TRACKER'!$AC$5:$AC$204),26),'⚡ COMMAND TRACKER'!$AC$5:$AC$204,0),"")),"")</f>
        <v/>
      </c>
      <c r="H29" s="10" t="str">
        <f aca="false">IFERROR(INDEX('⚡ COMMAND TRACKER'!$X$5:$X$204,IFERROR(MATCH(SMALL(IF('⚡ COMMAND TRACKER'!$AC$5:$AC$204&lt;="",9999999,'⚡ COMMAND TRACKER'!$AC$5:$AC$204),26),'⚡ COMMAND TRACKER'!$AC$5:$AC$204,0),"")),"")</f>
        <v/>
      </c>
      <c r="I29" s="14" t="str">
        <f aca="false">IFERROR(INDEX('⚡ COMMAND TRACKER'!$AB$5:$AB$204,IFERROR(MATCH(SMALL(IF('⚡ COMMAND TRACKER'!$AC$5:$AC$204&lt;="",9999999,'⚡ COMMAND TRACKER'!$AC$5:$AC$204),26),'⚡ COMMAND TRACKER'!$AC$5:$AC$204,0),"")),"")</f>
        <v/>
      </c>
      <c r="J29" s="14" t="str">
        <f aca="false">IFERROR(INDEX('⚡ COMMAND TRACKER'!$AC$5:$AC$204,IFERROR(MATCH(SMALL(IF('⚡ COMMAND TRACKER'!$AC$5:$AC$204&lt;="",9999999,'⚡ COMMAND TRACKER'!$AC$5:$AC$204),26),'⚡ COMMAND TRACKER'!$AC$5:$AC$204,0),"")),"")</f>
        <v/>
      </c>
      <c r="K29" s="16" t="str">
        <f aca="true">IFERROR(IF(J29="","",TODAY()-J29),"")</f>
        <v/>
      </c>
    </row>
    <row r="30" customFormat="false" ht="19.5" hidden="false" customHeight="true" outlineLevel="0" collapsed="false">
      <c r="A30" s="18" t="str">
        <f aca="true">IFERROR(IF(INDEX('⚡ COMMAND TRACKER'!$AC$5:$AC$204,IFERROR(MATCH(SMALL(IF('⚡ COMMAND TRACKER'!$AC$5:$AC$204&lt;="",9999999,'⚡ COMMAND TRACKER'!$AC$5:$AC$204),27),'⚡ COMMAND TRACKER'!$AC$5:$AC$204,0),""))-TODAY()&lt;0,"🚨 OVERDUE",IF(INDEX('⚡ COMMAND TRACKER'!$AC$5:$AC$204,IFERROR(MATCH(SMALL(IF('⚡ COMMAND TRACKER'!$AC$5:$AC$204&lt;="",9999999,'⚡ COMMAND TRACKER'!$AC$5:$AC$204),27),'⚡ COMMAND TRACKER'!$AC$5:$AC$204,0),""))-TODAY()&lt;=1,"🔔 DUE NOW","📋 UPCOMING")),"")</f>
        <v/>
      </c>
      <c r="B30" s="17" t="str">
        <f aca="false">IFERROR(INDEX('⚡ COMMAND TRACKER'!$A$5:$A$204,IFERROR(MATCH(SMALL(IF('⚡ COMMAND TRACKER'!$AC$5:$AC$204&lt;="",9999999,'⚡ COMMAND TRACKER'!$AC$5:$AC$204),27),'⚡ COMMAND TRACKER'!$AC$5:$AC$204,0),"")),"")</f>
        <v/>
      </c>
      <c r="C30" s="17" t="str">
        <f aca="false">IFERROR(INDEX('⚡ COMMAND TRACKER'!$E$5:$E$204,IFERROR(MATCH(SMALL(IF('⚡ COMMAND TRACKER'!$AC$5:$AC$204&lt;="",9999999,'⚡ COMMAND TRACKER'!$AC$5:$AC$204),27),'⚡ COMMAND TRACKER'!$AC$5:$AC$204,0),"")),"")</f>
        <v/>
      </c>
      <c r="D30" s="27" t="str">
        <f aca="false">IFERROR(INDEX('⚡ COMMAND TRACKER'!$B$5:$B$204,IFERROR(MATCH(SMALL(IF('⚡ COMMAND TRACKER'!$AC$5:$AC$204&lt;="",9999999,'⚡ COMMAND TRACKER'!$AC$5:$AC$204),27),'⚡ COMMAND TRACKER'!$AC$5:$AC$204,0),"")),"")</f>
        <v/>
      </c>
      <c r="E30" s="34" t="str">
        <f aca="false">IFERROR(INDEX('⚡ COMMAND TRACKER'!$Y$5:$Y$204,IFERROR(MATCH(SMALL(IF('⚡ COMMAND TRACKER'!$AC$5:$AC$204&lt;="",9999999,'⚡ COMMAND TRACKER'!$AC$5:$AC$204),27),'⚡ COMMAND TRACKER'!$AC$5:$AC$204,0),"")),"")</f>
        <v/>
      </c>
      <c r="F30" s="18" t="str">
        <f aca="false">IFERROR(INDEX('⚡ COMMAND TRACKER'!$Z$5:$Z$204,IFERROR(MATCH(SMALL(IF('⚡ COMMAND TRACKER'!$AC$5:$AC$204&lt;="",9999999,'⚡ COMMAND TRACKER'!$AC$5:$AC$204),27),'⚡ COMMAND TRACKER'!$AC$5:$AC$204,0),"")),"")</f>
        <v/>
      </c>
      <c r="G30" s="18" t="str">
        <f aca="false">IFERROR(INDEX('⚡ COMMAND TRACKER'!$U$5:$U$204,IFERROR(MATCH(SMALL(IF('⚡ COMMAND TRACKER'!$AC$5:$AC$204&lt;="",9999999,'⚡ COMMAND TRACKER'!$AC$5:$AC$204),27),'⚡ COMMAND TRACKER'!$AC$5:$AC$204,0),"")),"")</f>
        <v/>
      </c>
      <c r="H30" s="17" t="str">
        <f aca="false">IFERROR(INDEX('⚡ COMMAND TRACKER'!$X$5:$X$204,IFERROR(MATCH(SMALL(IF('⚡ COMMAND TRACKER'!$AC$5:$AC$204&lt;="",9999999,'⚡ COMMAND TRACKER'!$AC$5:$AC$204),27),'⚡ COMMAND TRACKER'!$AC$5:$AC$204,0),"")),"")</f>
        <v/>
      </c>
      <c r="I30" s="21" t="str">
        <f aca="false">IFERROR(INDEX('⚡ COMMAND TRACKER'!$AB$5:$AB$204,IFERROR(MATCH(SMALL(IF('⚡ COMMAND TRACKER'!$AC$5:$AC$204&lt;="",9999999,'⚡ COMMAND TRACKER'!$AC$5:$AC$204),27),'⚡ COMMAND TRACKER'!$AC$5:$AC$204,0),"")),"")</f>
        <v/>
      </c>
      <c r="J30" s="21" t="str">
        <f aca="false">IFERROR(INDEX('⚡ COMMAND TRACKER'!$AC$5:$AC$204,IFERROR(MATCH(SMALL(IF('⚡ COMMAND TRACKER'!$AC$5:$AC$204&lt;="",9999999,'⚡ COMMAND TRACKER'!$AC$5:$AC$204),27),'⚡ COMMAND TRACKER'!$AC$5:$AC$204,0),"")),"")</f>
        <v/>
      </c>
      <c r="K30" s="23" t="str">
        <f aca="true">IFERROR(IF(J30="","",TODAY()-J30),"")</f>
        <v/>
      </c>
    </row>
    <row r="31" customFormat="false" ht="19.5" hidden="false" customHeight="true" outlineLevel="0" collapsed="false">
      <c r="A31" s="11" t="str">
        <f aca="true">IFERROR(IF(INDEX('⚡ COMMAND TRACKER'!$AC$5:$AC$204,IFERROR(MATCH(SMALL(IF('⚡ COMMAND TRACKER'!$AC$5:$AC$204&lt;="",9999999,'⚡ COMMAND TRACKER'!$AC$5:$AC$204),28),'⚡ COMMAND TRACKER'!$AC$5:$AC$204,0),""))-TODAY()&lt;0,"🚨 OVERDUE",IF(INDEX('⚡ COMMAND TRACKER'!$AC$5:$AC$204,IFERROR(MATCH(SMALL(IF('⚡ COMMAND TRACKER'!$AC$5:$AC$204&lt;="",9999999,'⚡ COMMAND TRACKER'!$AC$5:$AC$204),28),'⚡ COMMAND TRACKER'!$AC$5:$AC$204,0),""))-TODAY()&lt;=1,"🔔 DUE NOW","📋 UPCOMING")),"")</f>
        <v/>
      </c>
      <c r="B31" s="10" t="str">
        <f aca="false">IFERROR(INDEX('⚡ COMMAND TRACKER'!$A$5:$A$204,IFERROR(MATCH(SMALL(IF('⚡ COMMAND TRACKER'!$AC$5:$AC$204&lt;="",9999999,'⚡ COMMAND TRACKER'!$AC$5:$AC$204),28),'⚡ COMMAND TRACKER'!$AC$5:$AC$204,0),"")),"")</f>
        <v/>
      </c>
      <c r="C31" s="10" t="str">
        <f aca="false">IFERROR(INDEX('⚡ COMMAND TRACKER'!$E$5:$E$204,IFERROR(MATCH(SMALL(IF('⚡ COMMAND TRACKER'!$AC$5:$AC$204&lt;="",9999999,'⚡ COMMAND TRACKER'!$AC$5:$AC$204),28),'⚡ COMMAND TRACKER'!$AC$5:$AC$204,0),"")),"")</f>
        <v/>
      </c>
      <c r="D31" s="30" t="str">
        <f aca="false">IFERROR(INDEX('⚡ COMMAND TRACKER'!$B$5:$B$204,IFERROR(MATCH(SMALL(IF('⚡ COMMAND TRACKER'!$AC$5:$AC$204&lt;="",9999999,'⚡ COMMAND TRACKER'!$AC$5:$AC$204),28),'⚡ COMMAND TRACKER'!$AC$5:$AC$204,0),"")),"")</f>
        <v/>
      </c>
      <c r="E31" s="35" t="str">
        <f aca="false">IFERROR(INDEX('⚡ COMMAND TRACKER'!$Y$5:$Y$204,IFERROR(MATCH(SMALL(IF('⚡ COMMAND TRACKER'!$AC$5:$AC$204&lt;="",9999999,'⚡ COMMAND TRACKER'!$AC$5:$AC$204),28),'⚡ COMMAND TRACKER'!$AC$5:$AC$204,0),"")),"")</f>
        <v/>
      </c>
      <c r="F31" s="11" t="str">
        <f aca="false">IFERROR(INDEX('⚡ COMMAND TRACKER'!$Z$5:$Z$204,IFERROR(MATCH(SMALL(IF('⚡ COMMAND TRACKER'!$AC$5:$AC$204&lt;="",9999999,'⚡ COMMAND TRACKER'!$AC$5:$AC$204),28),'⚡ COMMAND TRACKER'!$AC$5:$AC$204,0),"")),"")</f>
        <v/>
      </c>
      <c r="G31" s="11" t="str">
        <f aca="false">IFERROR(INDEX('⚡ COMMAND TRACKER'!$U$5:$U$204,IFERROR(MATCH(SMALL(IF('⚡ COMMAND TRACKER'!$AC$5:$AC$204&lt;="",9999999,'⚡ COMMAND TRACKER'!$AC$5:$AC$204),28),'⚡ COMMAND TRACKER'!$AC$5:$AC$204,0),"")),"")</f>
        <v/>
      </c>
      <c r="H31" s="10" t="str">
        <f aca="false">IFERROR(INDEX('⚡ COMMAND TRACKER'!$X$5:$X$204,IFERROR(MATCH(SMALL(IF('⚡ COMMAND TRACKER'!$AC$5:$AC$204&lt;="",9999999,'⚡ COMMAND TRACKER'!$AC$5:$AC$204),28),'⚡ COMMAND TRACKER'!$AC$5:$AC$204,0),"")),"")</f>
        <v/>
      </c>
      <c r="I31" s="14" t="str">
        <f aca="false">IFERROR(INDEX('⚡ COMMAND TRACKER'!$AB$5:$AB$204,IFERROR(MATCH(SMALL(IF('⚡ COMMAND TRACKER'!$AC$5:$AC$204&lt;="",9999999,'⚡ COMMAND TRACKER'!$AC$5:$AC$204),28),'⚡ COMMAND TRACKER'!$AC$5:$AC$204,0),"")),"")</f>
        <v/>
      </c>
      <c r="J31" s="14" t="str">
        <f aca="false">IFERROR(INDEX('⚡ COMMAND TRACKER'!$AC$5:$AC$204,IFERROR(MATCH(SMALL(IF('⚡ COMMAND TRACKER'!$AC$5:$AC$204&lt;="",9999999,'⚡ COMMAND TRACKER'!$AC$5:$AC$204),28),'⚡ COMMAND TRACKER'!$AC$5:$AC$204,0),"")),"")</f>
        <v/>
      </c>
      <c r="K31" s="16" t="str">
        <f aca="true">IFERROR(IF(J31="","",TODAY()-J31),"")</f>
        <v/>
      </c>
    </row>
    <row r="32" customFormat="false" ht="19.5" hidden="false" customHeight="true" outlineLevel="0" collapsed="false">
      <c r="A32" s="18" t="str">
        <f aca="true">IFERROR(IF(INDEX('⚡ COMMAND TRACKER'!$AC$5:$AC$204,IFERROR(MATCH(SMALL(IF('⚡ COMMAND TRACKER'!$AC$5:$AC$204&lt;="",9999999,'⚡ COMMAND TRACKER'!$AC$5:$AC$204),29),'⚡ COMMAND TRACKER'!$AC$5:$AC$204,0),""))-TODAY()&lt;0,"🚨 OVERDUE",IF(INDEX('⚡ COMMAND TRACKER'!$AC$5:$AC$204,IFERROR(MATCH(SMALL(IF('⚡ COMMAND TRACKER'!$AC$5:$AC$204&lt;="",9999999,'⚡ COMMAND TRACKER'!$AC$5:$AC$204),29),'⚡ COMMAND TRACKER'!$AC$5:$AC$204,0),""))-TODAY()&lt;=1,"🔔 DUE NOW","📋 UPCOMING")),"")</f>
        <v/>
      </c>
      <c r="B32" s="17" t="str">
        <f aca="false">IFERROR(INDEX('⚡ COMMAND TRACKER'!$A$5:$A$204,IFERROR(MATCH(SMALL(IF('⚡ COMMAND TRACKER'!$AC$5:$AC$204&lt;="",9999999,'⚡ COMMAND TRACKER'!$AC$5:$AC$204),29),'⚡ COMMAND TRACKER'!$AC$5:$AC$204,0),"")),"")</f>
        <v/>
      </c>
      <c r="C32" s="17" t="str">
        <f aca="false">IFERROR(INDEX('⚡ COMMAND TRACKER'!$E$5:$E$204,IFERROR(MATCH(SMALL(IF('⚡ COMMAND TRACKER'!$AC$5:$AC$204&lt;="",9999999,'⚡ COMMAND TRACKER'!$AC$5:$AC$204),29),'⚡ COMMAND TRACKER'!$AC$5:$AC$204,0),"")),"")</f>
        <v/>
      </c>
      <c r="D32" s="27" t="str">
        <f aca="false">IFERROR(INDEX('⚡ COMMAND TRACKER'!$B$5:$B$204,IFERROR(MATCH(SMALL(IF('⚡ COMMAND TRACKER'!$AC$5:$AC$204&lt;="",9999999,'⚡ COMMAND TRACKER'!$AC$5:$AC$204),29),'⚡ COMMAND TRACKER'!$AC$5:$AC$204,0),"")),"")</f>
        <v/>
      </c>
      <c r="E32" s="34" t="str">
        <f aca="false">IFERROR(INDEX('⚡ COMMAND TRACKER'!$Y$5:$Y$204,IFERROR(MATCH(SMALL(IF('⚡ COMMAND TRACKER'!$AC$5:$AC$204&lt;="",9999999,'⚡ COMMAND TRACKER'!$AC$5:$AC$204),29),'⚡ COMMAND TRACKER'!$AC$5:$AC$204,0),"")),"")</f>
        <v/>
      </c>
      <c r="F32" s="18" t="str">
        <f aca="false">IFERROR(INDEX('⚡ COMMAND TRACKER'!$Z$5:$Z$204,IFERROR(MATCH(SMALL(IF('⚡ COMMAND TRACKER'!$AC$5:$AC$204&lt;="",9999999,'⚡ COMMAND TRACKER'!$AC$5:$AC$204),29),'⚡ COMMAND TRACKER'!$AC$5:$AC$204,0),"")),"")</f>
        <v/>
      </c>
      <c r="G32" s="18" t="str">
        <f aca="false">IFERROR(INDEX('⚡ COMMAND TRACKER'!$U$5:$U$204,IFERROR(MATCH(SMALL(IF('⚡ COMMAND TRACKER'!$AC$5:$AC$204&lt;="",9999999,'⚡ COMMAND TRACKER'!$AC$5:$AC$204),29),'⚡ COMMAND TRACKER'!$AC$5:$AC$204,0),"")),"")</f>
        <v/>
      </c>
      <c r="H32" s="17" t="str">
        <f aca="false">IFERROR(INDEX('⚡ COMMAND TRACKER'!$X$5:$X$204,IFERROR(MATCH(SMALL(IF('⚡ COMMAND TRACKER'!$AC$5:$AC$204&lt;="",9999999,'⚡ COMMAND TRACKER'!$AC$5:$AC$204),29),'⚡ COMMAND TRACKER'!$AC$5:$AC$204,0),"")),"")</f>
        <v/>
      </c>
      <c r="I32" s="21" t="str">
        <f aca="false">IFERROR(INDEX('⚡ COMMAND TRACKER'!$AB$5:$AB$204,IFERROR(MATCH(SMALL(IF('⚡ COMMAND TRACKER'!$AC$5:$AC$204&lt;="",9999999,'⚡ COMMAND TRACKER'!$AC$5:$AC$204),29),'⚡ COMMAND TRACKER'!$AC$5:$AC$204,0),"")),"")</f>
        <v/>
      </c>
      <c r="J32" s="21" t="str">
        <f aca="false">IFERROR(INDEX('⚡ COMMAND TRACKER'!$AC$5:$AC$204,IFERROR(MATCH(SMALL(IF('⚡ COMMAND TRACKER'!$AC$5:$AC$204&lt;="",9999999,'⚡ COMMAND TRACKER'!$AC$5:$AC$204),29),'⚡ COMMAND TRACKER'!$AC$5:$AC$204,0),"")),"")</f>
        <v/>
      </c>
      <c r="K32" s="23" t="str">
        <f aca="true">IFERROR(IF(J32="","",TODAY()-J32),"")</f>
        <v/>
      </c>
    </row>
    <row r="33" customFormat="false" ht="19.5" hidden="false" customHeight="true" outlineLevel="0" collapsed="false">
      <c r="A33" s="11" t="str">
        <f aca="true">IFERROR(IF(INDEX('⚡ COMMAND TRACKER'!$AC$5:$AC$204,IFERROR(MATCH(SMALL(IF('⚡ COMMAND TRACKER'!$AC$5:$AC$204&lt;="",9999999,'⚡ COMMAND TRACKER'!$AC$5:$AC$204),30),'⚡ COMMAND TRACKER'!$AC$5:$AC$204,0),""))-TODAY()&lt;0,"🚨 OVERDUE",IF(INDEX('⚡ COMMAND TRACKER'!$AC$5:$AC$204,IFERROR(MATCH(SMALL(IF('⚡ COMMAND TRACKER'!$AC$5:$AC$204&lt;="",9999999,'⚡ COMMAND TRACKER'!$AC$5:$AC$204),30),'⚡ COMMAND TRACKER'!$AC$5:$AC$204,0),""))-TODAY()&lt;=1,"🔔 DUE NOW","📋 UPCOMING")),"")</f>
        <v/>
      </c>
      <c r="B33" s="10" t="str">
        <f aca="false">IFERROR(INDEX('⚡ COMMAND TRACKER'!$A$5:$A$204,IFERROR(MATCH(SMALL(IF('⚡ COMMAND TRACKER'!$AC$5:$AC$204&lt;="",9999999,'⚡ COMMAND TRACKER'!$AC$5:$AC$204),30),'⚡ COMMAND TRACKER'!$AC$5:$AC$204,0),"")),"")</f>
        <v/>
      </c>
      <c r="C33" s="10" t="str">
        <f aca="false">IFERROR(INDEX('⚡ COMMAND TRACKER'!$E$5:$E$204,IFERROR(MATCH(SMALL(IF('⚡ COMMAND TRACKER'!$AC$5:$AC$204&lt;="",9999999,'⚡ COMMAND TRACKER'!$AC$5:$AC$204),30),'⚡ COMMAND TRACKER'!$AC$5:$AC$204,0),"")),"")</f>
        <v/>
      </c>
      <c r="D33" s="30" t="str">
        <f aca="false">IFERROR(INDEX('⚡ COMMAND TRACKER'!$B$5:$B$204,IFERROR(MATCH(SMALL(IF('⚡ COMMAND TRACKER'!$AC$5:$AC$204&lt;="",9999999,'⚡ COMMAND TRACKER'!$AC$5:$AC$204),30),'⚡ COMMAND TRACKER'!$AC$5:$AC$204,0),"")),"")</f>
        <v/>
      </c>
      <c r="E33" s="35" t="str">
        <f aca="false">IFERROR(INDEX('⚡ COMMAND TRACKER'!$Y$5:$Y$204,IFERROR(MATCH(SMALL(IF('⚡ COMMAND TRACKER'!$AC$5:$AC$204&lt;="",9999999,'⚡ COMMAND TRACKER'!$AC$5:$AC$204),30),'⚡ COMMAND TRACKER'!$AC$5:$AC$204,0),"")),"")</f>
        <v/>
      </c>
      <c r="F33" s="11" t="str">
        <f aca="false">IFERROR(INDEX('⚡ COMMAND TRACKER'!$Z$5:$Z$204,IFERROR(MATCH(SMALL(IF('⚡ COMMAND TRACKER'!$AC$5:$AC$204&lt;="",9999999,'⚡ COMMAND TRACKER'!$AC$5:$AC$204),30),'⚡ COMMAND TRACKER'!$AC$5:$AC$204,0),"")),"")</f>
        <v/>
      </c>
      <c r="G33" s="11" t="str">
        <f aca="false">IFERROR(INDEX('⚡ COMMAND TRACKER'!$U$5:$U$204,IFERROR(MATCH(SMALL(IF('⚡ COMMAND TRACKER'!$AC$5:$AC$204&lt;="",9999999,'⚡ COMMAND TRACKER'!$AC$5:$AC$204),30),'⚡ COMMAND TRACKER'!$AC$5:$AC$204,0),"")),"")</f>
        <v/>
      </c>
      <c r="H33" s="10" t="str">
        <f aca="false">IFERROR(INDEX('⚡ COMMAND TRACKER'!$X$5:$X$204,IFERROR(MATCH(SMALL(IF('⚡ COMMAND TRACKER'!$AC$5:$AC$204&lt;="",9999999,'⚡ COMMAND TRACKER'!$AC$5:$AC$204),30),'⚡ COMMAND TRACKER'!$AC$5:$AC$204,0),"")),"")</f>
        <v/>
      </c>
      <c r="I33" s="14" t="str">
        <f aca="false">IFERROR(INDEX('⚡ COMMAND TRACKER'!$AB$5:$AB$204,IFERROR(MATCH(SMALL(IF('⚡ COMMAND TRACKER'!$AC$5:$AC$204&lt;="",9999999,'⚡ COMMAND TRACKER'!$AC$5:$AC$204),30),'⚡ COMMAND TRACKER'!$AC$5:$AC$204,0),"")),"")</f>
        <v/>
      </c>
      <c r="J33" s="14" t="str">
        <f aca="false">IFERROR(INDEX('⚡ COMMAND TRACKER'!$AC$5:$AC$204,IFERROR(MATCH(SMALL(IF('⚡ COMMAND TRACKER'!$AC$5:$AC$204&lt;="",9999999,'⚡ COMMAND TRACKER'!$AC$5:$AC$204),30),'⚡ COMMAND TRACKER'!$AC$5:$AC$204,0),"")),"")</f>
        <v/>
      </c>
      <c r="K33" s="16" t="str">
        <f aca="true">IFERROR(IF(J33="","",TODAY()-J33),"")</f>
        <v/>
      </c>
    </row>
    <row r="34" customFormat="false" ht="19.5" hidden="false" customHeight="true" outlineLevel="0" collapsed="false">
      <c r="A34" s="18" t="str">
        <f aca="true">IFERROR(IF(INDEX('⚡ COMMAND TRACKER'!$AC$5:$AC$204,IFERROR(MATCH(SMALL(IF('⚡ COMMAND TRACKER'!$AC$5:$AC$204&lt;="",9999999,'⚡ COMMAND TRACKER'!$AC$5:$AC$204),31),'⚡ COMMAND TRACKER'!$AC$5:$AC$204,0),""))-TODAY()&lt;0,"🚨 OVERDUE",IF(INDEX('⚡ COMMAND TRACKER'!$AC$5:$AC$204,IFERROR(MATCH(SMALL(IF('⚡ COMMAND TRACKER'!$AC$5:$AC$204&lt;="",9999999,'⚡ COMMAND TRACKER'!$AC$5:$AC$204),31),'⚡ COMMAND TRACKER'!$AC$5:$AC$204,0),""))-TODAY()&lt;=1,"🔔 DUE NOW","📋 UPCOMING")),"")</f>
        <v/>
      </c>
      <c r="B34" s="17" t="str">
        <f aca="false">IFERROR(INDEX('⚡ COMMAND TRACKER'!$A$5:$A$204,IFERROR(MATCH(SMALL(IF('⚡ COMMAND TRACKER'!$AC$5:$AC$204&lt;="",9999999,'⚡ COMMAND TRACKER'!$AC$5:$AC$204),31),'⚡ COMMAND TRACKER'!$AC$5:$AC$204,0),"")),"")</f>
        <v/>
      </c>
      <c r="C34" s="17" t="str">
        <f aca="false">IFERROR(INDEX('⚡ COMMAND TRACKER'!$E$5:$E$204,IFERROR(MATCH(SMALL(IF('⚡ COMMAND TRACKER'!$AC$5:$AC$204&lt;="",9999999,'⚡ COMMAND TRACKER'!$AC$5:$AC$204),31),'⚡ COMMAND TRACKER'!$AC$5:$AC$204,0),"")),"")</f>
        <v/>
      </c>
      <c r="D34" s="27" t="str">
        <f aca="false">IFERROR(INDEX('⚡ COMMAND TRACKER'!$B$5:$B$204,IFERROR(MATCH(SMALL(IF('⚡ COMMAND TRACKER'!$AC$5:$AC$204&lt;="",9999999,'⚡ COMMAND TRACKER'!$AC$5:$AC$204),31),'⚡ COMMAND TRACKER'!$AC$5:$AC$204,0),"")),"")</f>
        <v/>
      </c>
      <c r="E34" s="34" t="str">
        <f aca="false">IFERROR(INDEX('⚡ COMMAND TRACKER'!$Y$5:$Y$204,IFERROR(MATCH(SMALL(IF('⚡ COMMAND TRACKER'!$AC$5:$AC$204&lt;="",9999999,'⚡ COMMAND TRACKER'!$AC$5:$AC$204),31),'⚡ COMMAND TRACKER'!$AC$5:$AC$204,0),"")),"")</f>
        <v/>
      </c>
      <c r="F34" s="18" t="str">
        <f aca="false">IFERROR(INDEX('⚡ COMMAND TRACKER'!$Z$5:$Z$204,IFERROR(MATCH(SMALL(IF('⚡ COMMAND TRACKER'!$AC$5:$AC$204&lt;="",9999999,'⚡ COMMAND TRACKER'!$AC$5:$AC$204),31),'⚡ COMMAND TRACKER'!$AC$5:$AC$204,0),"")),"")</f>
        <v/>
      </c>
      <c r="G34" s="18" t="str">
        <f aca="false">IFERROR(INDEX('⚡ COMMAND TRACKER'!$U$5:$U$204,IFERROR(MATCH(SMALL(IF('⚡ COMMAND TRACKER'!$AC$5:$AC$204&lt;="",9999999,'⚡ COMMAND TRACKER'!$AC$5:$AC$204),31),'⚡ COMMAND TRACKER'!$AC$5:$AC$204,0),"")),"")</f>
        <v/>
      </c>
      <c r="H34" s="17" t="str">
        <f aca="false">IFERROR(INDEX('⚡ COMMAND TRACKER'!$X$5:$X$204,IFERROR(MATCH(SMALL(IF('⚡ COMMAND TRACKER'!$AC$5:$AC$204&lt;="",9999999,'⚡ COMMAND TRACKER'!$AC$5:$AC$204),31),'⚡ COMMAND TRACKER'!$AC$5:$AC$204,0),"")),"")</f>
        <v/>
      </c>
      <c r="I34" s="21" t="str">
        <f aca="false">IFERROR(INDEX('⚡ COMMAND TRACKER'!$AB$5:$AB$204,IFERROR(MATCH(SMALL(IF('⚡ COMMAND TRACKER'!$AC$5:$AC$204&lt;="",9999999,'⚡ COMMAND TRACKER'!$AC$5:$AC$204),31),'⚡ COMMAND TRACKER'!$AC$5:$AC$204,0),"")),"")</f>
        <v/>
      </c>
      <c r="J34" s="21" t="str">
        <f aca="false">IFERROR(INDEX('⚡ COMMAND TRACKER'!$AC$5:$AC$204,IFERROR(MATCH(SMALL(IF('⚡ COMMAND TRACKER'!$AC$5:$AC$204&lt;="",9999999,'⚡ COMMAND TRACKER'!$AC$5:$AC$204),31),'⚡ COMMAND TRACKER'!$AC$5:$AC$204,0),"")),"")</f>
        <v/>
      </c>
      <c r="K34" s="23" t="str">
        <f aca="true">IFERROR(IF(J34="","",TODAY()-J34),"")</f>
        <v/>
      </c>
    </row>
    <row r="35" customFormat="false" ht="19.5" hidden="false" customHeight="true" outlineLevel="0" collapsed="false">
      <c r="A35" s="11" t="str">
        <f aca="true">IFERROR(IF(INDEX('⚡ COMMAND TRACKER'!$AC$5:$AC$204,IFERROR(MATCH(SMALL(IF('⚡ COMMAND TRACKER'!$AC$5:$AC$204&lt;="",9999999,'⚡ COMMAND TRACKER'!$AC$5:$AC$204),32),'⚡ COMMAND TRACKER'!$AC$5:$AC$204,0),""))-TODAY()&lt;0,"🚨 OVERDUE",IF(INDEX('⚡ COMMAND TRACKER'!$AC$5:$AC$204,IFERROR(MATCH(SMALL(IF('⚡ COMMAND TRACKER'!$AC$5:$AC$204&lt;="",9999999,'⚡ COMMAND TRACKER'!$AC$5:$AC$204),32),'⚡ COMMAND TRACKER'!$AC$5:$AC$204,0),""))-TODAY()&lt;=1,"🔔 DUE NOW","📋 UPCOMING")),"")</f>
        <v/>
      </c>
      <c r="B35" s="10" t="str">
        <f aca="false">IFERROR(INDEX('⚡ COMMAND TRACKER'!$A$5:$A$204,IFERROR(MATCH(SMALL(IF('⚡ COMMAND TRACKER'!$AC$5:$AC$204&lt;="",9999999,'⚡ COMMAND TRACKER'!$AC$5:$AC$204),32),'⚡ COMMAND TRACKER'!$AC$5:$AC$204,0),"")),"")</f>
        <v/>
      </c>
      <c r="C35" s="10" t="str">
        <f aca="false">IFERROR(INDEX('⚡ COMMAND TRACKER'!$E$5:$E$204,IFERROR(MATCH(SMALL(IF('⚡ COMMAND TRACKER'!$AC$5:$AC$204&lt;="",9999999,'⚡ COMMAND TRACKER'!$AC$5:$AC$204),32),'⚡ COMMAND TRACKER'!$AC$5:$AC$204,0),"")),"")</f>
        <v/>
      </c>
      <c r="D35" s="30" t="str">
        <f aca="false">IFERROR(INDEX('⚡ COMMAND TRACKER'!$B$5:$B$204,IFERROR(MATCH(SMALL(IF('⚡ COMMAND TRACKER'!$AC$5:$AC$204&lt;="",9999999,'⚡ COMMAND TRACKER'!$AC$5:$AC$204),32),'⚡ COMMAND TRACKER'!$AC$5:$AC$204,0),"")),"")</f>
        <v/>
      </c>
      <c r="E35" s="35" t="str">
        <f aca="false">IFERROR(INDEX('⚡ COMMAND TRACKER'!$Y$5:$Y$204,IFERROR(MATCH(SMALL(IF('⚡ COMMAND TRACKER'!$AC$5:$AC$204&lt;="",9999999,'⚡ COMMAND TRACKER'!$AC$5:$AC$204),32),'⚡ COMMAND TRACKER'!$AC$5:$AC$204,0),"")),"")</f>
        <v/>
      </c>
      <c r="F35" s="11" t="str">
        <f aca="false">IFERROR(INDEX('⚡ COMMAND TRACKER'!$Z$5:$Z$204,IFERROR(MATCH(SMALL(IF('⚡ COMMAND TRACKER'!$AC$5:$AC$204&lt;="",9999999,'⚡ COMMAND TRACKER'!$AC$5:$AC$204),32),'⚡ COMMAND TRACKER'!$AC$5:$AC$204,0),"")),"")</f>
        <v/>
      </c>
      <c r="G35" s="11" t="str">
        <f aca="false">IFERROR(INDEX('⚡ COMMAND TRACKER'!$U$5:$U$204,IFERROR(MATCH(SMALL(IF('⚡ COMMAND TRACKER'!$AC$5:$AC$204&lt;="",9999999,'⚡ COMMAND TRACKER'!$AC$5:$AC$204),32),'⚡ COMMAND TRACKER'!$AC$5:$AC$204,0),"")),"")</f>
        <v/>
      </c>
      <c r="H35" s="10" t="str">
        <f aca="false">IFERROR(INDEX('⚡ COMMAND TRACKER'!$X$5:$X$204,IFERROR(MATCH(SMALL(IF('⚡ COMMAND TRACKER'!$AC$5:$AC$204&lt;="",9999999,'⚡ COMMAND TRACKER'!$AC$5:$AC$204),32),'⚡ COMMAND TRACKER'!$AC$5:$AC$204,0),"")),"")</f>
        <v/>
      </c>
      <c r="I35" s="14" t="str">
        <f aca="false">IFERROR(INDEX('⚡ COMMAND TRACKER'!$AB$5:$AB$204,IFERROR(MATCH(SMALL(IF('⚡ COMMAND TRACKER'!$AC$5:$AC$204&lt;="",9999999,'⚡ COMMAND TRACKER'!$AC$5:$AC$204),32),'⚡ COMMAND TRACKER'!$AC$5:$AC$204,0),"")),"")</f>
        <v/>
      </c>
      <c r="J35" s="14" t="str">
        <f aca="false">IFERROR(INDEX('⚡ COMMAND TRACKER'!$AC$5:$AC$204,IFERROR(MATCH(SMALL(IF('⚡ COMMAND TRACKER'!$AC$5:$AC$204&lt;="",9999999,'⚡ COMMAND TRACKER'!$AC$5:$AC$204),32),'⚡ COMMAND TRACKER'!$AC$5:$AC$204,0),"")),"")</f>
        <v/>
      </c>
      <c r="K35" s="16" t="str">
        <f aca="true">IFERROR(IF(J35="","",TODAY()-J35),"")</f>
        <v/>
      </c>
    </row>
    <row r="36" customFormat="false" ht="19.5" hidden="false" customHeight="true" outlineLevel="0" collapsed="false">
      <c r="A36" s="18" t="str">
        <f aca="true">IFERROR(IF(INDEX('⚡ COMMAND TRACKER'!$AC$5:$AC$204,IFERROR(MATCH(SMALL(IF('⚡ COMMAND TRACKER'!$AC$5:$AC$204&lt;="",9999999,'⚡ COMMAND TRACKER'!$AC$5:$AC$204),33),'⚡ COMMAND TRACKER'!$AC$5:$AC$204,0),""))-TODAY()&lt;0,"🚨 OVERDUE",IF(INDEX('⚡ COMMAND TRACKER'!$AC$5:$AC$204,IFERROR(MATCH(SMALL(IF('⚡ COMMAND TRACKER'!$AC$5:$AC$204&lt;="",9999999,'⚡ COMMAND TRACKER'!$AC$5:$AC$204),33),'⚡ COMMAND TRACKER'!$AC$5:$AC$204,0),""))-TODAY()&lt;=1,"🔔 DUE NOW","📋 UPCOMING")),"")</f>
        <v/>
      </c>
      <c r="B36" s="17" t="str">
        <f aca="false">IFERROR(INDEX('⚡ COMMAND TRACKER'!$A$5:$A$204,IFERROR(MATCH(SMALL(IF('⚡ COMMAND TRACKER'!$AC$5:$AC$204&lt;="",9999999,'⚡ COMMAND TRACKER'!$AC$5:$AC$204),33),'⚡ COMMAND TRACKER'!$AC$5:$AC$204,0),"")),"")</f>
        <v/>
      </c>
      <c r="C36" s="17" t="str">
        <f aca="false">IFERROR(INDEX('⚡ COMMAND TRACKER'!$E$5:$E$204,IFERROR(MATCH(SMALL(IF('⚡ COMMAND TRACKER'!$AC$5:$AC$204&lt;="",9999999,'⚡ COMMAND TRACKER'!$AC$5:$AC$204),33),'⚡ COMMAND TRACKER'!$AC$5:$AC$204,0),"")),"")</f>
        <v/>
      </c>
      <c r="D36" s="27" t="str">
        <f aca="false">IFERROR(INDEX('⚡ COMMAND TRACKER'!$B$5:$B$204,IFERROR(MATCH(SMALL(IF('⚡ COMMAND TRACKER'!$AC$5:$AC$204&lt;="",9999999,'⚡ COMMAND TRACKER'!$AC$5:$AC$204),33),'⚡ COMMAND TRACKER'!$AC$5:$AC$204,0),"")),"")</f>
        <v/>
      </c>
      <c r="E36" s="34" t="str">
        <f aca="false">IFERROR(INDEX('⚡ COMMAND TRACKER'!$Y$5:$Y$204,IFERROR(MATCH(SMALL(IF('⚡ COMMAND TRACKER'!$AC$5:$AC$204&lt;="",9999999,'⚡ COMMAND TRACKER'!$AC$5:$AC$204),33),'⚡ COMMAND TRACKER'!$AC$5:$AC$204,0),"")),"")</f>
        <v/>
      </c>
      <c r="F36" s="18" t="str">
        <f aca="false">IFERROR(INDEX('⚡ COMMAND TRACKER'!$Z$5:$Z$204,IFERROR(MATCH(SMALL(IF('⚡ COMMAND TRACKER'!$AC$5:$AC$204&lt;="",9999999,'⚡ COMMAND TRACKER'!$AC$5:$AC$204),33),'⚡ COMMAND TRACKER'!$AC$5:$AC$204,0),"")),"")</f>
        <v/>
      </c>
      <c r="G36" s="18" t="str">
        <f aca="false">IFERROR(INDEX('⚡ COMMAND TRACKER'!$U$5:$U$204,IFERROR(MATCH(SMALL(IF('⚡ COMMAND TRACKER'!$AC$5:$AC$204&lt;="",9999999,'⚡ COMMAND TRACKER'!$AC$5:$AC$204),33),'⚡ COMMAND TRACKER'!$AC$5:$AC$204,0),"")),"")</f>
        <v/>
      </c>
      <c r="H36" s="17" t="str">
        <f aca="false">IFERROR(INDEX('⚡ COMMAND TRACKER'!$X$5:$X$204,IFERROR(MATCH(SMALL(IF('⚡ COMMAND TRACKER'!$AC$5:$AC$204&lt;="",9999999,'⚡ COMMAND TRACKER'!$AC$5:$AC$204),33),'⚡ COMMAND TRACKER'!$AC$5:$AC$204,0),"")),"")</f>
        <v/>
      </c>
      <c r="I36" s="21" t="str">
        <f aca="false">IFERROR(INDEX('⚡ COMMAND TRACKER'!$AB$5:$AB$204,IFERROR(MATCH(SMALL(IF('⚡ COMMAND TRACKER'!$AC$5:$AC$204&lt;="",9999999,'⚡ COMMAND TRACKER'!$AC$5:$AC$204),33),'⚡ COMMAND TRACKER'!$AC$5:$AC$204,0),"")),"")</f>
        <v/>
      </c>
      <c r="J36" s="21" t="str">
        <f aca="false">IFERROR(INDEX('⚡ COMMAND TRACKER'!$AC$5:$AC$204,IFERROR(MATCH(SMALL(IF('⚡ COMMAND TRACKER'!$AC$5:$AC$204&lt;="",9999999,'⚡ COMMAND TRACKER'!$AC$5:$AC$204),33),'⚡ COMMAND TRACKER'!$AC$5:$AC$204,0),"")),"")</f>
        <v/>
      </c>
      <c r="K36" s="23" t="str">
        <f aca="true">IFERROR(IF(J36="","",TODAY()-J36),"")</f>
        <v/>
      </c>
    </row>
    <row r="37" customFormat="false" ht="19.5" hidden="false" customHeight="true" outlineLevel="0" collapsed="false">
      <c r="A37" s="11" t="str">
        <f aca="true">IFERROR(IF(INDEX('⚡ COMMAND TRACKER'!$AC$5:$AC$204,IFERROR(MATCH(SMALL(IF('⚡ COMMAND TRACKER'!$AC$5:$AC$204&lt;="",9999999,'⚡ COMMAND TRACKER'!$AC$5:$AC$204),34),'⚡ COMMAND TRACKER'!$AC$5:$AC$204,0),""))-TODAY()&lt;0,"🚨 OVERDUE",IF(INDEX('⚡ COMMAND TRACKER'!$AC$5:$AC$204,IFERROR(MATCH(SMALL(IF('⚡ COMMAND TRACKER'!$AC$5:$AC$204&lt;="",9999999,'⚡ COMMAND TRACKER'!$AC$5:$AC$204),34),'⚡ COMMAND TRACKER'!$AC$5:$AC$204,0),""))-TODAY()&lt;=1,"🔔 DUE NOW","📋 UPCOMING")),"")</f>
        <v/>
      </c>
      <c r="B37" s="10" t="str">
        <f aca="false">IFERROR(INDEX('⚡ COMMAND TRACKER'!$A$5:$A$204,IFERROR(MATCH(SMALL(IF('⚡ COMMAND TRACKER'!$AC$5:$AC$204&lt;="",9999999,'⚡ COMMAND TRACKER'!$AC$5:$AC$204),34),'⚡ COMMAND TRACKER'!$AC$5:$AC$204,0),"")),"")</f>
        <v/>
      </c>
      <c r="C37" s="10" t="str">
        <f aca="false">IFERROR(INDEX('⚡ COMMAND TRACKER'!$E$5:$E$204,IFERROR(MATCH(SMALL(IF('⚡ COMMAND TRACKER'!$AC$5:$AC$204&lt;="",9999999,'⚡ COMMAND TRACKER'!$AC$5:$AC$204),34),'⚡ COMMAND TRACKER'!$AC$5:$AC$204,0),"")),"")</f>
        <v/>
      </c>
      <c r="D37" s="30" t="str">
        <f aca="false">IFERROR(INDEX('⚡ COMMAND TRACKER'!$B$5:$B$204,IFERROR(MATCH(SMALL(IF('⚡ COMMAND TRACKER'!$AC$5:$AC$204&lt;="",9999999,'⚡ COMMAND TRACKER'!$AC$5:$AC$204),34),'⚡ COMMAND TRACKER'!$AC$5:$AC$204,0),"")),"")</f>
        <v/>
      </c>
      <c r="E37" s="35" t="str">
        <f aca="false">IFERROR(INDEX('⚡ COMMAND TRACKER'!$Y$5:$Y$204,IFERROR(MATCH(SMALL(IF('⚡ COMMAND TRACKER'!$AC$5:$AC$204&lt;="",9999999,'⚡ COMMAND TRACKER'!$AC$5:$AC$204),34),'⚡ COMMAND TRACKER'!$AC$5:$AC$204,0),"")),"")</f>
        <v/>
      </c>
      <c r="F37" s="11" t="str">
        <f aca="false">IFERROR(INDEX('⚡ COMMAND TRACKER'!$Z$5:$Z$204,IFERROR(MATCH(SMALL(IF('⚡ COMMAND TRACKER'!$AC$5:$AC$204&lt;="",9999999,'⚡ COMMAND TRACKER'!$AC$5:$AC$204),34),'⚡ COMMAND TRACKER'!$AC$5:$AC$204,0),"")),"")</f>
        <v/>
      </c>
      <c r="G37" s="11" t="str">
        <f aca="false">IFERROR(INDEX('⚡ COMMAND TRACKER'!$U$5:$U$204,IFERROR(MATCH(SMALL(IF('⚡ COMMAND TRACKER'!$AC$5:$AC$204&lt;="",9999999,'⚡ COMMAND TRACKER'!$AC$5:$AC$204),34),'⚡ COMMAND TRACKER'!$AC$5:$AC$204,0),"")),"")</f>
        <v/>
      </c>
      <c r="H37" s="10" t="str">
        <f aca="false">IFERROR(INDEX('⚡ COMMAND TRACKER'!$X$5:$X$204,IFERROR(MATCH(SMALL(IF('⚡ COMMAND TRACKER'!$AC$5:$AC$204&lt;="",9999999,'⚡ COMMAND TRACKER'!$AC$5:$AC$204),34),'⚡ COMMAND TRACKER'!$AC$5:$AC$204,0),"")),"")</f>
        <v/>
      </c>
      <c r="I37" s="14" t="str">
        <f aca="false">IFERROR(INDEX('⚡ COMMAND TRACKER'!$AB$5:$AB$204,IFERROR(MATCH(SMALL(IF('⚡ COMMAND TRACKER'!$AC$5:$AC$204&lt;="",9999999,'⚡ COMMAND TRACKER'!$AC$5:$AC$204),34),'⚡ COMMAND TRACKER'!$AC$5:$AC$204,0),"")),"")</f>
        <v/>
      </c>
      <c r="J37" s="14" t="str">
        <f aca="false">IFERROR(INDEX('⚡ COMMAND TRACKER'!$AC$5:$AC$204,IFERROR(MATCH(SMALL(IF('⚡ COMMAND TRACKER'!$AC$5:$AC$204&lt;="",9999999,'⚡ COMMAND TRACKER'!$AC$5:$AC$204),34),'⚡ COMMAND TRACKER'!$AC$5:$AC$204,0),"")),"")</f>
        <v/>
      </c>
      <c r="K37" s="16" t="str">
        <f aca="true">IFERROR(IF(J37="","",TODAY()-J37),"")</f>
        <v/>
      </c>
    </row>
    <row r="38" customFormat="false" ht="19.5" hidden="false" customHeight="true" outlineLevel="0" collapsed="false">
      <c r="A38" s="18" t="str">
        <f aca="true">IFERROR(IF(INDEX('⚡ COMMAND TRACKER'!$AC$5:$AC$204,IFERROR(MATCH(SMALL(IF('⚡ COMMAND TRACKER'!$AC$5:$AC$204&lt;="",9999999,'⚡ COMMAND TRACKER'!$AC$5:$AC$204),35),'⚡ COMMAND TRACKER'!$AC$5:$AC$204,0),""))-TODAY()&lt;0,"🚨 OVERDUE",IF(INDEX('⚡ COMMAND TRACKER'!$AC$5:$AC$204,IFERROR(MATCH(SMALL(IF('⚡ COMMAND TRACKER'!$AC$5:$AC$204&lt;="",9999999,'⚡ COMMAND TRACKER'!$AC$5:$AC$204),35),'⚡ COMMAND TRACKER'!$AC$5:$AC$204,0),""))-TODAY()&lt;=1,"🔔 DUE NOW","📋 UPCOMING")),"")</f>
        <v/>
      </c>
      <c r="B38" s="17" t="str">
        <f aca="false">IFERROR(INDEX('⚡ COMMAND TRACKER'!$A$5:$A$204,IFERROR(MATCH(SMALL(IF('⚡ COMMAND TRACKER'!$AC$5:$AC$204&lt;="",9999999,'⚡ COMMAND TRACKER'!$AC$5:$AC$204),35),'⚡ COMMAND TRACKER'!$AC$5:$AC$204,0),"")),"")</f>
        <v/>
      </c>
      <c r="C38" s="17" t="str">
        <f aca="false">IFERROR(INDEX('⚡ COMMAND TRACKER'!$E$5:$E$204,IFERROR(MATCH(SMALL(IF('⚡ COMMAND TRACKER'!$AC$5:$AC$204&lt;="",9999999,'⚡ COMMAND TRACKER'!$AC$5:$AC$204),35),'⚡ COMMAND TRACKER'!$AC$5:$AC$204,0),"")),"")</f>
        <v/>
      </c>
      <c r="D38" s="27" t="str">
        <f aca="false">IFERROR(INDEX('⚡ COMMAND TRACKER'!$B$5:$B$204,IFERROR(MATCH(SMALL(IF('⚡ COMMAND TRACKER'!$AC$5:$AC$204&lt;="",9999999,'⚡ COMMAND TRACKER'!$AC$5:$AC$204),35),'⚡ COMMAND TRACKER'!$AC$5:$AC$204,0),"")),"")</f>
        <v/>
      </c>
      <c r="E38" s="34" t="str">
        <f aca="false">IFERROR(INDEX('⚡ COMMAND TRACKER'!$Y$5:$Y$204,IFERROR(MATCH(SMALL(IF('⚡ COMMAND TRACKER'!$AC$5:$AC$204&lt;="",9999999,'⚡ COMMAND TRACKER'!$AC$5:$AC$204),35),'⚡ COMMAND TRACKER'!$AC$5:$AC$204,0),"")),"")</f>
        <v/>
      </c>
      <c r="F38" s="18" t="str">
        <f aca="false">IFERROR(INDEX('⚡ COMMAND TRACKER'!$Z$5:$Z$204,IFERROR(MATCH(SMALL(IF('⚡ COMMAND TRACKER'!$AC$5:$AC$204&lt;="",9999999,'⚡ COMMAND TRACKER'!$AC$5:$AC$204),35),'⚡ COMMAND TRACKER'!$AC$5:$AC$204,0),"")),"")</f>
        <v/>
      </c>
      <c r="G38" s="18" t="str">
        <f aca="false">IFERROR(INDEX('⚡ COMMAND TRACKER'!$U$5:$U$204,IFERROR(MATCH(SMALL(IF('⚡ COMMAND TRACKER'!$AC$5:$AC$204&lt;="",9999999,'⚡ COMMAND TRACKER'!$AC$5:$AC$204),35),'⚡ COMMAND TRACKER'!$AC$5:$AC$204,0),"")),"")</f>
        <v/>
      </c>
      <c r="H38" s="17" t="str">
        <f aca="false">IFERROR(INDEX('⚡ COMMAND TRACKER'!$X$5:$X$204,IFERROR(MATCH(SMALL(IF('⚡ COMMAND TRACKER'!$AC$5:$AC$204&lt;="",9999999,'⚡ COMMAND TRACKER'!$AC$5:$AC$204),35),'⚡ COMMAND TRACKER'!$AC$5:$AC$204,0),"")),"")</f>
        <v/>
      </c>
      <c r="I38" s="21" t="str">
        <f aca="false">IFERROR(INDEX('⚡ COMMAND TRACKER'!$AB$5:$AB$204,IFERROR(MATCH(SMALL(IF('⚡ COMMAND TRACKER'!$AC$5:$AC$204&lt;="",9999999,'⚡ COMMAND TRACKER'!$AC$5:$AC$204),35),'⚡ COMMAND TRACKER'!$AC$5:$AC$204,0),"")),"")</f>
        <v/>
      </c>
      <c r="J38" s="21" t="str">
        <f aca="false">IFERROR(INDEX('⚡ COMMAND TRACKER'!$AC$5:$AC$204,IFERROR(MATCH(SMALL(IF('⚡ COMMAND TRACKER'!$AC$5:$AC$204&lt;="",9999999,'⚡ COMMAND TRACKER'!$AC$5:$AC$204),35),'⚡ COMMAND TRACKER'!$AC$5:$AC$204,0),"")),"")</f>
        <v/>
      </c>
      <c r="K38" s="23" t="str">
        <f aca="true">IFERROR(IF(J38="","",TODAY()-J38),"")</f>
        <v/>
      </c>
    </row>
    <row r="39" customFormat="false" ht="19.5" hidden="false" customHeight="true" outlineLevel="0" collapsed="false">
      <c r="A39" s="11" t="str">
        <f aca="true">IFERROR(IF(INDEX('⚡ COMMAND TRACKER'!$AC$5:$AC$204,IFERROR(MATCH(SMALL(IF('⚡ COMMAND TRACKER'!$AC$5:$AC$204&lt;="",9999999,'⚡ COMMAND TRACKER'!$AC$5:$AC$204),36),'⚡ COMMAND TRACKER'!$AC$5:$AC$204,0),""))-TODAY()&lt;0,"🚨 OVERDUE",IF(INDEX('⚡ COMMAND TRACKER'!$AC$5:$AC$204,IFERROR(MATCH(SMALL(IF('⚡ COMMAND TRACKER'!$AC$5:$AC$204&lt;="",9999999,'⚡ COMMAND TRACKER'!$AC$5:$AC$204),36),'⚡ COMMAND TRACKER'!$AC$5:$AC$204,0),""))-TODAY()&lt;=1,"🔔 DUE NOW","📋 UPCOMING")),"")</f>
        <v/>
      </c>
      <c r="B39" s="10" t="str">
        <f aca="false">IFERROR(INDEX('⚡ COMMAND TRACKER'!$A$5:$A$204,IFERROR(MATCH(SMALL(IF('⚡ COMMAND TRACKER'!$AC$5:$AC$204&lt;="",9999999,'⚡ COMMAND TRACKER'!$AC$5:$AC$204),36),'⚡ COMMAND TRACKER'!$AC$5:$AC$204,0),"")),"")</f>
        <v/>
      </c>
      <c r="C39" s="10" t="str">
        <f aca="false">IFERROR(INDEX('⚡ COMMAND TRACKER'!$E$5:$E$204,IFERROR(MATCH(SMALL(IF('⚡ COMMAND TRACKER'!$AC$5:$AC$204&lt;="",9999999,'⚡ COMMAND TRACKER'!$AC$5:$AC$204),36),'⚡ COMMAND TRACKER'!$AC$5:$AC$204,0),"")),"")</f>
        <v/>
      </c>
      <c r="D39" s="30" t="str">
        <f aca="false">IFERROR(INDEX('⚡ COMMAND TRACKER'!$B$5:$B$204,IFERROR(MATCH(SMALL(IF('⚡ COMMAND TRACKER'!$AC$5:$AC$204&lt;="",9999999,'⚡ COMMAND TRACKER'!$AC$5:$AC$204),36),'⚡ COMMAND TRACKER'!$AC$5:$AC$204,0),"")),"")</f>
        <v/>
      </c>
      <c r="E39" s="35" t="str">
        <f aca="false">IFERROR(INDEX('⚡ COMMAND TRACKER'!$Y$5:$Y$204,IFERROR(MATCH(SMALL(IF('⚡ COMMAND TRACKER'!$AC$5:$AC$204&lt;="",9999999,'⚡ COMMAND TRACKER'!$AC$5:$AC$204),36),'⚡ COMMAND TRACKER'!$AC$5:$AC$204,0),"")),"")</f>
        <v/>
      </c>
      <c r="F39" s="11" t="str">
        <f aca="false">IFERROR(INDEX('⚡ COMMAND TRACKER'!$Z$5:$Z$204,IFERROR(MATCH(SMALL(IF('⚡ COMMAND TRACKER'!$AC$5:$AC$204&lt;="",9999999,'⚡ COMMAND TRACKER'!$AC$5:$AC$204),36),'⚡ COMMAND TRACKER'!$AC$5:$AC$204,0),"")),"")</f>
        <v/>
      </c>
      <c r="G39" s="11" t="str">
        <f aca="false">IFERROR(INDEX('⚡ COMMAND TRACKER'!$U$5:$U$204,IFERROR(MATCH(SMALL(IF('⚡ COMMAND TRACKER'!$AC$5:$AC$204&lt;="",9999999,'⚡ COMMAND TRACKER'!$AC$5:$AC$204),36),'⚡ COMMAND TRACKER'!$AC$5:$AC$204,0),"")),"")</f>
        <v/>
      </c>
      <c r="H39" s="10" t="str">
        <f aca="false">IFERROR(INDEX('⚡ COMMAND TRACKER'!$X$5:$X$204,IFERROR(MATCH(SMALL(IF('⚡ COMMAND TRACKER'!$AC$5:$AC$204&lt;="",9999999,'⚡ COMMAND TRACKER'!$AC$5:$AC$204),36),'⚡ COMMAND TRACKER'!$AC$5:$AC$204,0),"")),"")</f>
        <v/>
      </c>
      <c r="I39" s="14" t="str">
        <f aca="false">IFERROR(INDEX('⚡ COMMAND TRACKER'!$AB$5:$AB$204,IFERROR(MATCH(SMALL(IF('⚡ COMMAND TRACKER'!$AC$5:$AC$204&lt;="",9999999,'⚡ COMMAND TRACKER'!$AC$5:$AC$204),36),'⚡ COMMAND TRACKER'!$AC$5:$AC$204,0),"")),"")</f>
        <v/>
      </c>
      <c r="J39" s="14" t="str">
        <f aca="false">IFERROR(INDEX('⚡ COMMAND TRACKER'!$AC$5:$AC$204,IFERROR(MATCH(SMALL(IF('⚡ COMMAND TRACKER'!$AC$5:$AC$204&lt;="",9999999,'⚡ COMMAND TRACKER'!$AC$5:$AC$204),36),'⚡ COMMAND TRACKER'!$AC$5:$AC$204,0),"")),"")</f>
        <v/>
      </c>
      <c r="K39" s="16" t="str">
        <f aca="true">IFERROR(IF(J39="","",TODAY()-J39),"")</f>
        <v/>
      </c>
    </row>
    <row r="40" customFormat="false" ht="19.5" hidden="false" customHeight="true" outlineLevel="0" collapsed="false">
      <c r="A40" s="18" t="str">
        <f aca="true">IFERROR(IF(INDEX('⚡ COMMAND TRACKER'!$AC$5:$AC$204,IFERROR(MATCH(SMALL(IF('⚡ COMMAND TRACKER'!$AC$5:$AC$204&lt;="",9999999,'⚡ COMMAND TRACKER'!$AC$5:$AC$204),37),'⚡ COMMAND TRACKER'!$AC$5:$AC$204,0),""))-TODAY()&lt;0,"🚨 OVERDUE",IF(INDEX('⚡ COMMAND TRACKER'!$AC$5:$AC$204,IFERROR(MATCH(SMALL(IF('⚡ COMMAND TRACKER'!$AC$5:$AC$204&lt;="",9999999,'⚡ COMMAND TRACKER'!$AC$5:$AC$204),37),'⚡ COMMAND TRACKER'!$AC$5:$AC$204,0),""))-TODAY()&lt;=1,"🔔 DUE NOW","📋 UPCOMING")),"")</f>
        <v/>
      </c>
      <c r="B40" s="17" t="str">
        <f aca="false">IFERROR(INDEX('⚡ COMMAND TRACKER'!$A$5:$A$204,IFERROR(MATCH(SMALL(IF('⚡ COMMAND TRACKER'!$AC$5:$AC$204&lt;="",9999999,'⚡ COMMAND TRACKER'!$AC$5:$AC$204),37),'⚡ COMMAND TRACKER'!$AC$5:$AC$204,0),"")),"")</f>
        <v/>
      </c>
      <c r="C40" s="17" t="str">
        <f aca="false">IFERROR(INDEX('⚡ COMMAND TRACKER'!$E$5:$E$204,IFERROR(MATCH(SMALL(IF('⚡ COMMAND TRACKER'!$AC$5:$AC$204&lt;="",9999999,'⚡ COMMAND TRACKER'!$AC$5:$AC$204),37),'⚡ COMMAND TRACKER'!$AC$5:$AC$204,0),"")),"")</f>
        <v/>
      </c>
      <c r="D40" s="27" t="str">
        <f aca="false">IFERROR(INDEX('⚡ COMMAND TRACKER'!$B$5:$B$204,IFERROR(MATCH(SMALL(IF('⚡ COMMAND TRACKER'!$AC$5:$AC$204&lt;="",9999999,'⚡ COMMAND TRACKER'!$AC$5:$AC$204),37),'⚡ COMMAND TRACKER'!$AC$5:$AC$204,0),"")),"")</f>
        <v/>
      </c>
      <c r="E40" s="34" t="str">
        <f aca="false">IFERROR(INDEX('⚡ COMMAND TRACKER'!$Y$5:$Y$204,IFERROR(MATCH(SMALL(IF('⚡ COMMAND TRACKER'!$AC$5:$AC$204&lt;="",9999999,'⚡ COMMAND TRACKER'!$AC$5:$AC$204),37),'⚡ COMMAND TRACKER'!$AC$5:$AC$204,0),"")),"")</f>
        <v/>
      </c>
      <c r="F40" s="18" t="str">
        <f aca="false">IFERROR(INDEX('⚡ COMMAND TRACKER'!$Z$5:$Z$204,IFERROR(MATCH(SMALL(IF('⚡ COMMAND TRACKER'!$AC$5:$AC$204&lt;="",9999999,'⚡ COMMAND TRACKER'!$AC$5:$AC$204),37),'⚡ COMMAND TRACKER'!$AC$5:$AC$204,0),"")),"")</f>
        <v/>
      </c>
      <c r="G40" s="18" t="str">
        <f aca="false">IFERROR(INDEX('⚡ COMMAND TRACKER'!$U$5:$U$204,IFERROR(MATCH(SMALL(IF('⚡ COMMAND TRACKER'!$AC$5:$AC$204&lt;="",9999999,'⚡ COMMAND TRACKER'!$AC$5:$AC$204),37),'⚡ COMMAND TRACKER'!$AC$5:$AC$204,0),"")),"")</f>
        <v/>
      </c>
      <c r="H40" s="17" t="str">
        <f aca="false">IFERROR(INDEX('⚡ COMMAND TRACKER'!$X$5:$X$204,IFERROR(MATCH(SMALL(IF('⚡ COMMAND TRACKER'!$AC$5:$AC$204&lt;="",9999999,'⚡ COMMAND TRACKER'!$AC$5:$AC$204),37),'⚡ COMMAND TRACKER'!$AC$5:$AC$204,0),"")),"")</f>
        <v/>
      </c>
      <c r="I40" s="21" t="str">
        <f aca="false">IFERROR(INDEX('⚡ COMMAND TRACKER'!$AB$5:$AB$204,IFERROR(MATCH(SMALL(IF('⚡ COMMAND TRACKER'!$AC$5:$AC$204&lt;="",9999999,'⚡ COMMAND TRACKER'!$AC$5:$AC$204),37),'⚡ COMMAND TRACKER'!$AC$5:$AC$204,0),"")),"")</f>
        <v/>
      </c>
      <c r="J40" s="21" t="str">
        <f aca="false">IFERROR(INDEX('⚡ COMMAND TRACKER'!$AC$5:$AC$204,IFERROR(MATCH(SMALL(IF('⚡ COMMAND TRACKER'!$AC$5:$AC$204&lt;="",9999999,'⚡ COMMAND TRACKER'!$AC$5:$AC$204),37),'⚡ COMMAND TRACKER'!$AC$5:$AC$204,0),"")),"")</f>
        <v/>
      </c>
      <c r="K40" s="23" t="str">
        <f aca="true">IFERROR(IF(J40="","",TODAY()-J40),"")</f>
        <v/>
      </c>
    </row>
    <row r="41" customFormat="false" ht="19.5" hidden="false" customHeight="true" outlineLevel="0" collapsed="false">
      <c r="A41" s="11" t="str">
        <f aca="true">IFERROR(IF(INDEX('⚡ COMMAND TRACKER'!$AC$5:$AC$204,IFERROR(MATCH(SMALL(IF('⚡ COMMAND TRACKER'!$AC$5:$AC$204&lt;="",9999999,'⚡ COMMAND TRACKER'!$AC$5:$AC$204),38),'⚡ COMMAND TRACKER'!$AC$5:$AC$204,0),""))-TODAY()&lt;0,"🚨 OVERDUE",IF(INDEX('⚡ COMMAND TRACKER'!$AC$5:$AC$204,IFERROR(MATCH(SMALL(IF('⚡ COMMAND TRACKER'!$AC$5:$AC$204&lt;="",9999999,'⚡ COMMAND TRACKER'!$AC$5:$AC$204),38),'⚡ COMMAND TRACKER'!$AC$5:$AC$204,0),""))-TODAY()&lt;=1,"🔔 DUE NOW","📋 UPCOMING")),"")</f>
        <v/>
      </c>
      <c r="B41" s="10" t="str">
        <f aca="false">IFERROR(INDEX('⚡ COMMAND TRACKER'!$A$5:$A$204,IFERROR(MATCH(SMALL(IF('⚡ COMMAND TRACKER'!$AC$5:$AC$204&lt;="",9999999,'⚡ COMMAND TRACKER'!$AC$5:$AC$204),38),'⚡ COMMAND TRACKER'!$AC$5:$AC$204,0),"")),"")</f>
        <v/>
      </c>
      <c r="C41" s="10" t="str">
        <f aca="false">IFERROR(INDEX('⚡ COMMAND TRACKER'!$E$5:$E$204,IFERROR(MATCH(SMALL(IF('⚡ COMMAND TRACKER'!$AC$5:$AC$204&lt;="",9999999,'⚡ COMMAND TRACKER'!$AC$5:$AC$204),38),'⚡ COMMAND TRACKER'!$AC$5:$AC$204,0),"")),"")</f>
        <v/>
      </c>
      <c r="D41" s="30" t="str">
        <f aca="false">IFERROR(INDEX('⚡ COMMAND TRACKER'!$B$5:$B$204,IFERROR(MATCH(SMALL(IF('⚡ COMMAND TRACKER'!$AC$5:$AC$204&lt;="",9999999,'⚡ COMMAND TRACKER'!$AC$5:$AC$204),38),'⚡ COMMAND TRACKER'!$AC$5:$AC$204,0),"")),"")</f>
        <v/>
      </c>
      <c r="E41" s="35" t="str">
        <f aca="false">IFERROR(INDEX('⚡ COMMAND TRACKER'!$Y$5:$Y$204,IFERROR(MATCH(SMALL(IF('⚡ COMMAND TRACKER'!$AC$5:$AC$204&lt;="",9999999,'⚡ COMMAND TRACKER'!$AC$5:$AC$204),38),'⚡ COMMAND TRACKER'!$AC$5:$AC$204,0),"")),"")</f>
        <v/>
      </c>
      <c r="F41" s="11" t="str">
        <f aca="false">IFERROR(INDEX('⚡ COMMAND TRACKER'!$Z$5:$Z$204,IFERROR(MATCH(SMALL(IF('⚡ COMMAND TRACKER'!$AC$5:$AC$204&lt;="",9999999,'⚡ COMMAND TRACKER'!$AC$5:$AC$204),38),'⚡ COMMAND TRACKER'!$AC$5:$AC$204,0),"")),"")</f>
        <v/>
      </c>
      <c r="G41" s="11" t="str">
        <f aca="false">IFERROR(INDEX('⚡ COMMAND TRACKER'!$U$5:$U$204,IFERROR(MATCH(SMALL(IF('⚡ COMMAND TRACKER'!$AC$5:$AC$204&lt;="",9999999,'⚡ COMMAND TRACKER'!$AC$5:$AC$204),38),'⚡ COMMAND TRACKER'!$AC$5:$AC$204,0),"")),"")</f>
        <v/>
      </c>
      <c r="H41" s="10" t="str">
        <f aca="false">IFERROR(INDEX('⚡ COMMAND TRACKER'!$X$5:$X$204,IFERROR(MATCH(SMALL(IF('⚡ COMMAND TRACKER'!$AC$5:$AC$204&lt;="",9999999,'⚡ COMMAND TRACKER'!$AC$5:$AC$204),38),'⚡ COMMAND TRACKER'!$AC$5:$AC$204,0),"")),"")</f>
        <v/>
      </c>
      <c r="I41" s="14" t="str">
        <f aca="false">IFERROR(INDEX('⚡ COMMAND TRACKER'!$AB$5:$AB$204,IFERROR(MATCH(SMALL(IF('⚡ COMMAND TRACKER'!$AC$5:$AC$204&lt;="",9999999,'⚡ COMMAND TRACKER'!$AC$5:$AC$204),38),'⚡ COMMAND TRACKER'!$AC$5:$AC$204,0),"")),"")</f>
        <v/>
      </c>
      <c r="J41" s="14" t="str">
        <f aca="false">IFERROR(INDEX('⚡ COMMAND TRACKER'!$AC$5:$AC$204,IFERROR(MATCH(SMALL(IF('⚡ COMMAND TRACKER'!$AC$5:$AC$204&lt;="",9999999,'⚡ COMMAND TRACKER'!$AC$5:$AC$204),38),'⚡ COMMAND TRACKER'!$AC$5:$AC$204,0),"")),"")</f>
        <v/>
      </c>
      <c r="K41" s="16" t="str">
        <f aca="true">IFERROR(IF(J41="","",TODAY()-J41),"")</f>
        <v/>
      </c>
    </row>
    <row r="42" customFormat="false" ht="19.5" hidden="false" customHeight="true" outlineLevel="0" collapsed="false">
      <c r="A42" s="18" t="str">
        <f aca="true">IFERROR(IF(INDEX('⚡ COMMAND TRACKER'!$AC$5:$AC$204,IFERROR(MATCH(SMALL(IF('⚡ COMMAND TRACKER'!$AC$5:$AC$204&lt;="",9999999,'⚡ COMMAND TRACKER'!$AC$5:$AC$204),39),'⚡ COMMAND TRACKER'!$AC$5:$AC$204,0),""))-TODAY()&lt;0,"🚨 OVERDUE",IF(INDEX('⚡ COMMAND TRACKER'!$AC$5:$AC$204,IFERROR(MATCH(SMALL(IF('⚡ COMMAND TRACKER'!$AC$5:$AC$204&lt;="",9999999,'⚡ COMMAND TRACKER'!$AC$5:$AC$204),39),'⚡ COMMAND TRACKER'!$AC$5:$AC$204,0),""))-TODAY()&lt;=1,"🔔 DUE NOW","📋 UPCOMING")),"")</f>
        <v/>
      </c>
      <c r="B42" s="17" t="str">
        <f aca="false">IFERROR(INDEX('⚡ COMMAND TRACKER'!$A$5:$A$204,IFERROR(MATCH(SMALL(IF('⚡ COMMAND TRACKER'!$AC$5:$AC$204&lt;="",9999999,'⚡ COMMAND TRACKER'!$AC$5:$AC$204),39),'⚡ COMMAND TRACKER'!$AC$5:$AC$204,0),"")),"")</f>
        <v/>
      </c>
      <c r="C42" s="17" t="str">
        <f aca="false">IFERROR(INDEX('⚡ COMMAND TRACKER'!$E$5:$E$204,IFERROR(MATCH(SMALL(IF('⚡ COMMAND TRACKER'!$AC$5:$AC$204&lt;="",9999999,'⚡ COMMAND TRACKER'!$AC$5:$AC$204),39),'⚡ COMMAND TRACKER'!$AC$5:$AC$204,0),"")),"")</f>
        <v/>
      </c>
      <c r="D42" s="27" t="str">
        <f aca="false">IFERROR(INDEX('⚡ COMMAND TRACKER'!$B$5:$B$204,IFERROR(MATCH(SMALL(IF('⚡ COMMAND TRACKER'!$AC$5:$AC$204&lt;="",9999999,'⚡ COMMAND TRACKER'!$AC$5:$AC$204),39),'⚡ COMMAND TRACKER'!$AC$5:$AC$204,0),"")),"")</f>
        <v/>
      </c>
      <c r="E42" s="34" t="str">
        <f aca="false">IFERROR(INDEX('⚡ COMMAND TRACKER'!$Y$5:$Y$204,IFERROR(MATCH(SMALL(IF('⚡ COMMAND TRACKER'!$AC$5:$AC$204&lt;="",9999999,'⚡ COMMAND TRACKER'!$AC$5:$AC$204),39),'⚡ COMMAND TRACKER'!$AC$5:$AC$204,0),"")),"")</f>
        <v/>
      </c>
      <c r="F42" s="18" t="str">
        <f aca="false">IFERROR(INDEX('⚡ COMMAND TRACKER'!$Z$5:$Z$204,IFERROR(MATCH(SMALL(IF('⚡ COMMAND TRACKER'!$AC$5:$AC$204&lt;="",9999999,'⚡ COMMAND TRACKER'!$AC$5:$AC$204),39),'⚡ COMMAND TRACKER'!$AC$5:$AC$204,0),"")),"")</f>
        <v/>
      </c>
      <c r="G42" s="18" t="str">
        <f aca="false">IFERROR(INDEX('⚡ COMMAND TRACKER'!$U$5:$U$204,IFERROR(MATCH(SMALL(IF('⚡ COMMAND TRACKER'!$AC$5:$AC$204&lt;="",9999999,'⚡ COMMAND TRACKER'!$AC$5:$AC$204),39),'⚡ COMMAND TRACKER'!$AC$5:$AC$204,0),"")),"")</f>
        <v/>
      </c>
      <c r="H42" s="17" t="str">
        <f aca="false">IFERROR(INDEX('⚡ COMMAND TRACKER'!$X$5:$X$204,IFERROR(MATCH(SMALL(IF('⚡ COMMAND TRACKER'!$AC$5:$AC$204&lt;="",9999999,'⚡ COMMAND TRACKER'!$AC$5:$AC$204),39),'⚡ COMMAND TRACKER'!$AC$5:$AC$204,0),"")),"")</f>
        <v/>
      </c>
      <c r="I42" s="21" t="str">
        <f aca="false">IFERROR(INDEX('⚡ COMMAND TRACKER'!$AB$5:$AB$204,IFERROR(MATCH(SMALL(IF('⚡ COMMAND TRACKER'!$AC$5:$AC$204&lt;="",9999999,'⚡ COMMAND TRACKER'!$AC$5:$AC$204),39),'⚡ COMMAND TRACKER'!$AC$5:$AC$204,0),"")),"")</f>
        <v/>
      </c>
      <c r="J42" s="21" t="str">
        <f aca="false">IFERROR(INDEX('⚡ COMMAND TRACKER'!$AC$5:$AC$204,IFERROR(MATCH(SMALL(IF('⚡ COMMAND TRACKER'!$AC$5:$AC$204&lt;="",9999999,'⚡ COMMAND TRACKER'!$AC$5:$AC$204),39),'⚡ COMMAND TRACKER'!$AC$5:$AC$204,0),"")),"")</f>
        <v/>
      </c>
      <c r="K42" s="23" t="str">
        <f aca="true">IFERROR(IF(J42="","",TODAY()-J42),"")</f>
        <v/>
      </c>
    </row>
    <row r="43" customFormat="false" ht="19.5" hidden="false" customHeight="true" outlineLevel="0" collapsed="false">
      <c r="A43" s="11" t="str">
        <f aca="true">IFERROR(IF(INDEX('⚡ COMMAND TRACKER'!$AC$5:$AC$204,IFERROR(MATCH(SMALL(IF('⚡ COMMAND TRACKER'!$AC$5:$AC$204&lt;="",9999999,'⚡ COMMAND TRACKER'!$AC$5:$AC$204),40),'⚡ COMMAND TRACKER'!$AC$5:$AC$204,0),""))-TODAY()&lt;0,"🚨 OVERDUE",IF(INDEX('⚡ COMMAND TRACKER'!$AC$5:$AC$204,IFERROR(MATCH(SMALL(IF('⚡ COMMAND TRACKER'!$AC$5:$AC$204&lt;="",9999999,'⚡ COMMAND TRACKER'!$AC$5:$AC$204),40),'⚡ COMMAND TRACKER'!$AC$5:$AC$204,0),""))-TODAY()&lt;=1,"🔔 DUE NOW","📋 UPCOMING")),"")</f>
        <v/>
      </c>
      <c r="B43" s="10" t="str">
        <f aca="false">IFERROR(INDEX('⚡ COMMAND TRACKER'!$A$5:$A$204,IFERROR(MATCH(SMALL(IF('⚡ COMMAND TRACKER'!$AC$5:$AC$204&lt;="",9999999,'⚡ COMMAND TRACKER'!$AC$5:$AC$204),40),'⚡ COMMAND TRACKER'!$AC$5:$AC$204,0),"")),"")</f>
        <v/>
      </c>
      <c r="C43" s="10" t="str">
        <f aca="false">IFERROR(INDEX('⚡ COMMAND TRACKER'!$E$5:$E$204,IFERROR(MATCH(SMALL(IF('⚡ COMMAND TRACKER'!$AC$5:$AC$204&lt;="",9999999,'⚡ COMMAND TRACKER'!$AC$5:$AC$204),40),'⚡ COMMAND TRACKER'!$AC$5:$AC$204,0),"")),"")</f>
        <v/>
      </c>
      <c r="D43" s="30" t="str">
        <f aca="false">IFERROR(INDEX('⚡ COMMAND TRACKER'!$B$5:$B$204,IFERROR(MATCH(SMALL(IF('⚡ COMMAND TRACKER'!$AC$5:$AC$204&lt;="",9999999,'⚡ COMMAND TRACKER'!$AC$5:$AC$204),40),'⚡ COMMAND TRACKER'!$AC$5:$AC$204,0),"")),"")</f>
        <v/>
      </c>
      <c r="E43" s="35" t="str">
        <f aca="false">IFERROR(INDEX('⚡ COMMAND TRACKER'!$Y$5:$Y$204,IFERROR(MATCH(SMALL(IF('⚡ COMMAND TRACKER'!$AC$5:$AC$204&lt;="",9999999,'⚡ COMMAND TRACKER'!$AC$5:$AC$204),40),'⚡ COMMAND TRACKER'!$AC$5:$AC$204,0),"")),"")</f>
        <v/>
      </c>
      <c r="F43" s="11" t="str">
        <f aca="false">IFERROR(INDEX('⚡ COMMAND TRACKER'!$Z$5:$Z$204,IFERROR(MATCH(SMALL(IF('⚡ COMMAND TRACKER'!$AC$5:$AC$204&lt;="",9999999,'⚡ COMMAND TRACKER'!$AC$5:$AC$204),40),'⚡ COMMAND TRACKER'!$AC$5:$AC$204,0),"")),"")</f>
        <v/>
      </c>
      <c r="G43" s="11" t="str">
        <f aca="false">IFERROR(INDEX('⚡ COMMAND TRACKER'!$U$5:$U$204,IFERROR(MATCH(SMALL(IF('⚡ COMMAND TRACKER'!$AC$5:$AC$204&lt;="",9999999,'⚡ COMMAND TRACKER'!$AC$5:$AC$204),40),'⚡ COMMAND TRACKER'!$AC$5:$AC$204,0),"")),"")</f>
        <v/>
      </c>
      <c r="H43" s="10" t="str">
        <f aca="false">IFERROR(INDEX('⚡ COMMAND TRACKER'!$X$5:$X$204,IFERROR(MATCH(SMALL(IF('⚡ COMMAND TRACKER'!$AC$5:$AC$204&lt;="",9999999,'⚡ COMMAND TRACKER'!$AC$5:$AC$204),40),'⚡ COMMAND TRACKER'!$AC$5:$AC$204,0),"")),"")</f>
        <v/>
      </c>
      <c r="I43" s="14" t="str">
        <f aca="false">IFERROR(INDEX('⚡ COMMAND TRACKER'!$AB$5:$AB$204,IFERROR(MATCH(SMALL(IF('⚡ COMMAND TRACKER'!$AC$5:$AC$204&lt;="",9999999,'⚡ COMMAND TRACKER'!$AC$5:$AC$204),40),'⚡ COMMAND TRACKER'!$AC$5:$AC$204,0),"")),"")</f>
        <v/>
      </c>
      <c r="J43" s="14" t="str">
        <f aca="false">IFERROR(INDEX('⚡ COMMAND TRACKER'!$AC$5:$AC$204,IFERROR(MATCH(SMALL(IF('⚡ COMMAND TRACKER'!$AC$5:$AC$204&lt;="",9999999,'⚡ COMMAND TRACKER'!$AC$5:$AC$204),40),'⚡ COMMAND TRACKER'!$AC$5:$AC$204,0),"")),"")</f>
        <v/>
      </c>
      <c r="K43" s="16" t="str">
        <f aca="true">IFERROR(IF(J43="","",TODAY()-J43),"")</f>
        <v/>
      </c>
    </row>
    <row r="44" customFormat="false" ht="19.5" hidden="false" customHeight="true" outlineLevel="0" collapsed="false">
      <c r="A44" s="18" t="str">
        <f aca="true">IFERROR(IF(INDEX('⚡ COMMAND TRACKER'!$AC$5:$AC$204,IFERROR(MATCH(SMALL(IF('⚡ COMMAND TRACKER'!$AC$5:$AC$204&lt;="",9999999,'⚡ COMMAND TRACKER'!$AC$5:$AC$204),41),'⚡ COMMAND TRACKER'!$AC$5:$AC$204,0),""))-TODAY()&lt;0,"🚨 OVERDUE",IF(INDEX('⚡ COMMAND TRACKER'!$AC$5:$AC$204,IFERROR(MATCH(SMALL(IF('⚡ COMMAND TRACKER'!$AC$5:$AC$204&lt;="",9999999,'⚡ COMMAND TRACKER'!$AC$5:$AC$204),41),'⚡ COMMAND TRACKER'!$AC$5:$AC$204,0),""))-TODAY()&lt;=1,"🔔 DUE NOW","📋 UPCOMING")),"")</f>
        <v/>
      </c>
      <c r="B44" s="17" t="str">
        <f aca="false">IFERROR(INDEX('⚡ COMMAND TRACKER'!$A$5:$A$204,IFERROR(MATCH(SMALL(IF('⚡ COMMAND TRACKER'!$AC$5:$AC$204&lt;="",9999999,'⚡ COMMAND TRACKER'!$AC$5:$AC$204),41),'⚡ COMMAND TRACKER'!$AC$5:$AC$204,0),"")),"")</f>
        <v/>
      </c>
      <c r="C44" s="17" t="str">
        <f aca="false">IFERROR(INDEX('⚡ COMMAND TRACKER'!$E$5:$E$204,IFERROR(MATCH(SMALL(IF('⚡ COMMAND TRACKER'!$AC$5:$AC$204&lt;="",9999999,'⚡ COMMAND TRACKER'!$AC$5:$AC$204),41),'⚡ COMMAND TRACKER'!$AC$5:$AC$204,0),"")),"")</f>
        <v/>
      </c>
      <c r="D44" s="27" t="str">
        <f aca="false">IFERROR(INDEX('⚡ COMMAND TRACKER'!$B$5:$B$204,IFERROR(MATCH(SMALL(IF('⚡ COMMAND TRACKER'!$AC$5:$AC$204&lt;="",9999999,'⚡ COMMAND TRACKER'!$AC$5:$AC$204),41),'⚡ COMMAND TRACKER'!$AC$5:$AC$204,0),"")),"")</f>
        <v/>
      </c>
      <c r="E44" s="34" t="str">
        <f aca="false">IFERROR(INDEX('⚡ COMMAND TRACKER'!$Y$5:$Y$204,IFERROR(MATCH(SMALL(IF('⚡ COMMAND TRACKER'!$AC$5:$AC$204&lt;="",9999999,'⚡ COMMAND TRACKER'!$AC$5:$AC$204),41),'⚡ COMMAND TRACKER'!$AC$5:$AC$204,0),"")),"")</f>
        <v/>
      </c>
      <c r="F44" s="18" t="str">
        <f aca="false">IFERROR(INDEX('⚡ COMMAND TRACKER'!$Z$5:$Z$204,IFERROR(MATCH(SMALL(IF('⚡ COMMAND TRACKER'!$AC$5:$AC$204&lt;="",9999999,'⚡ COMMAND TRACKER'!$AC$5:$AC$204),41),'⚡ COMMAND TRACKER'!$AC$5:$AC$204,0),"")),"")</f>
        <v/>
      </c>
      <c r="G44" s="18" t="str">
        <f aca="false">IFERROR(INDEX('⚡ COMMAND TRACKER'!$U$5:$U$204,IFERROR(MATCH(SMALL(IF('⚡ COMMAND TRACKER'!$AC$5:$AC$204&lt;="",9999999,'⚡ COMMAND TRACKER'!$AC$5:$AC$204),41),'⚡ COMMAND TRACKER'!$AC$5:$AC$204,0),"")),"")</f>
        <v/>
      </c>
      <c r="H44" s="17" t="str">
        <f aca="false">IFERROR(INDEX('⚡ COMMAND TRACKER'!$X$5:$X$204,IFERROR(MATCH(SMALL(IF('⚡ COMMAND TRACKER'!$AC$5:$AC$204&lt;="",9999999,'⚡ COMMAND TRACKER'!$AC$5:$AC$204),41),'⚡ COMMAND TRACKER'!$AC$5:$AC$204,0),"")),"")</f>
        <v/>
      </c>
      <c r="I44" s="21" t="str">
        <f aca="false">IFERROR(INDEX('⚡ COMMAND TRACKER'!$AB$5:$AB$204,IFERROR(MATCH(SMALL(IF('⚡ COMMAND TRACKER'!$AC$5:$AC$204&lt;="",9999999,'⚡ COMMAND TRACKER'!$AC$5:$AC$204),41),'⚡ COMMAND TRACKER'!$AC$5:$AC$204,0),"")),"")</f>
        <v/>
      </c>
      <c r="J44" s="21" t="str">
        <f aca="false">IFERROR(INDEX('⚡ COMMAND TRACKER'!$AC$5:$AC$204,IFERROR(MATCH(SMALL(IF('⚡ COMMAND TRACKER'!$AC$5:$AC$204&lt;="",9999999,'⚡ COMMAND TRACKER'!$AC$5:$AC$204),41),'⚡ COMMAND TRACKER'!$AC$5:$AC$204,0),"")),"")</f>
        <v/>
      </c>
      <c r="K44" s="23" t="str">
        <f aca="true">IFERROR(IF(J44="","",TODAY()-J44),"")</f>
        <v/>
      </c>
    </row>
    <row r="45" customFormat="false" ht="19.5" hidden="false" customHeight="true" outlineLevel="0" collapsed="false">
      <c r="A45" s="11" t="str">
        <f aca="true">IFERROR(IF(INDEX('⚡ COMMAND TRACKER'!$AC$5:$AC$204,IFERROR(MATCH(SMALL(IF('⚡ COMMAND TRACKER'!$AC$5:$AC$204&lt;="",9999999,'⚡ COMMAND TRACKER'!$AC$5:$AC$204),42),'⚡ COMMAND TRACKER'!$AC$5:$AC$204,0),""))-TODAY()&lt;0,"🚨 OVERDUE",IF(INDEX('⚡ COMMAND TRACKER'!$AC$5:$AC$204,IFERROR(MATCH(SMALL(IF('⚡ COMMAND TRACKER'!$AC$5:$AC$204&lt;="",9999999,'⚡ COMMAND TRACKER'!$AC$5:$AC$204),42),'⚡ COMMAND TRACKER'!$AC$5:$AC$204,0),""))-TODAY()&lt;=1,"🔔 DUE NOW","📋 UPCOMING")),"")</f>
        <v/>
      </c>
      <c r="B45" s="10" t="str">
        <f aca="false">IFERROR(INDEX('⚡ COMMAND TRACKER'!$A$5:$A$204,IFERROR(MATCH(SMALL(IF('⚡ COMMAND TRACKER'!$AC$5:$AC$204&lt;="",9999999,'⚡ COMMAND TRACKER'!$AC$5:$AC$204),42),'⚡ COMMAND TRACKER'!$AC$5:$AC$204,0),"")),"")</f>
        <v/>
      </c>
      <c r="C45" s="10" t="str">
        <f aca="false">IFERROR(INDEX('⚡ COMMAND TRACKER'!$E$5:$E$204,IFERROR(MATCH(SMALL(IF('⚡ COMMAND TRACKER'!$AC$5:$AC$204&lt;="",9999999,'⚡ COMMAND TRACKER'!$AC$5:$AC$204),42),'⚡ COMMAND TRACKER'!$AC$5:$AC$204,0),"")),"")</f>
        <v/>
      </c>
      <c r="D45" s="30" t="str">
        <f aca="false">IFERROR(INDEX('⚡ COMMAND TRACKER'!$B$5:$B$204,IFERROR(MATCH(SMALL(IF('⚡ COMMAND TRACKER'!$AC$5:$AC$204&lt;="",9999999,'⚡ COMMAND TRACKER'!$AC$5:$AC$204),42),'⚡ COMMAND TRACKER'!$AC$5:$AC$204,0),"")),"")</f>
        <v/>
      </c>
      <c r="E45" s="35" t="str">
        <f aca="false">IFERROR(INDEX('⚡ COMMAND TRACKER'!$Y$5:$Y$204,IFERROR(MATCH(SMALL(IF('⚡ COMMAND TRACKER'!$AC$5:$AC$204&lt;="",9999999,'⚡ COMMAND TRACKER'!$AC$5:$AC$204),42),'⚡ COMMAND TRACKER'!$AC$5:$AC$204,0),"")),"")</f>
        <v/>
      </c>
      <c r="F45" s="11" t="str">
        <f aca="false">IFERROR(INDEX('⚡ COMMAND TRACKER'!$Z$5:$Z$204,IFERROR(MATCH(SMALL(IF('⚡ COMMAND TRACKER'!$AC$5:$AC$204&lt;="",9999999,'⚡ COMMAND TRACKER'!$AC$5:$AC$204),42),'⚡ COMMAND TRACKER'!$AC$5:$AC$204,0),"")),"")</f>
        <v/>
      </c>
      <c r="G45" s="11" t="str">
        <f aca="false">IFERROR(INDEX('⚡ COMMAND TRACKER'!$U$5:$U$204,IFERROR(MATCH(SMALL(IF('⚡ COMMAND TRACKER'!$AC$5:$AC$204&lt;="",9999999,'⚡ COMMAND TRACKER'!$AC$5:$AC$204),42),'⚡ COMMAND TRACKER'!$AC$5:$AC$204,0),"")),"")</f>
        <v/>
      </c>
      <c r="H45" s="10" t="str">
        <f aca="false">IFERROR(INDEX('⚡ COMMAND TRACKER'!$X$5:$X$204,IFERROR(MATCH(SMALL(IF('⚡ COMMAND TRACKER'!$AC$5:$AC$204&lt;="",9999999,'⚡ COMMAND TRACKER'!$AC$5:$AC$204),42),'⚡ COMMAND TRACKER'!$AC$5:$AC$204,0),"")),"")</f>
        <v/>
      </c>
      <c r="I45" s="14" t="str">
        <f aca="false">IFERROR(INDEX('⚡ COMMAND TRACKER'!$AB$5:$AB$204,IFERROR(MATCH(SMALL(IF('⚡ COMMAND TRACKER'!$AC$5:$AC$204&lt;="",9999999,'⚡ COMMAND TRACKER'!$AC$5:$AC$204),42),'⚡ COMMAND TRACKER'!$AC$5:$AC$204,0),"")),"")</f>
        <v/>
      </c>
      <c r="J45" s="14" t="str">
        <f aca="false">IFERROR(INDEX('⚡ COMMAND TRACKER'!$AC$5:$AC$204,IFERROR(MATCH(SMALL(IF('⚡ COMMAND TRACKER'!$AC$5:$AC$204&lt;="",9999999,'⚡ COMMAND TRACKER'!$AC$5:$AC$204),42),'⚡ COMMAND TRACKER'!$AC$5:$AC$204,0),"")),"")</f>
        <v/>
      </c>
      <c r="K45" s="16" t="str">
        <f aca="true">IFERROR(IF(J45="","",TODAY()-J45),"")</f>
        <v/>
      </c>
    </row>
    <row r="46" customFormat="false" ht="19.5" hidden="false" customHeight="true" outlineLevel="0" collapsed="false">
      <c r="A46" s="18" t="str">
        <f aca="true">IFERROR(IF(INDEX('⚡ COMMAND TRACKER'!$AC$5:$AC$204,IFERROR(MATCH(SMALL(IF('⚡ COMMAND TRACKER'!$AC$5:$AC$204&lt;="",9999999,'⚡ COMMAND TRACKER'!$AC$5:$AC$204),43),'⚡ COMMAND TRACKER'!$AC$5:$AC$204,0),""))-TODAY()&lt;0,"🚨 OVERDUE",IF(INDEX('⚡ COMMAND TRACKER'!$AC$5:$AC$204,IFERROR(MATCH(SMALL(IF('⚡ COMMAND TRACKER'!$AC$5:$AC$204&lt;="",9999999,'⚡ COMMAND TRACKER'!$AC$5:$AC$204),43),'⚡ COMMAND TRACKER'!$AC$5:$AC$204,0),""))-TODAY()&lt;=1,"🔔 DUE NOW","📋 UPCOMING")),"")</f>
        <v/>
      </c>
      <c r="B46" s="17" t="str">
        <f aca="false">IFERROR(INDEX('⚡ COMMAND TRACKER'!$A$5:$A$204,IFERROR(MATCH(SMALL(IF('⚡ COMMAND TRACKER'!$AC$5:$AC$204&lt;="",9999999,'⚡ COMMAND TRACKER'!$AC$5:$AC$204),43),'⚡ COMMAND TRACKER'!$AC$5:$AC$204,0),"")),"")</f>
        <v/>
      </c>
      <c r="C46" s="17" t="str">
        <f aca="false">IFERROR(INDEX('⚡ COMMAND TRACKER'!$E$5:$E$204,IFERROR(MATCH(SMALL(IF('⚡ COMMAND TRACKER'!$AC$5:$AC$204&lt;="",9999999,'⚡ COMMAND TRACKER'!$AC$5:$AC$204),43),'⚡ COMMAND TRACKER'!$AC$5:$AC$204,0),"")),"")</f>
        <v/>
      </c>
      <c r="D46" s="27" t="str">
        <f aca="false">IFERROR(INDEX('⚡ COMMAND TRACKER'!$B$5:$B$204,IFERROR(MATCH(SMALL(IF('⚡ COMMAND TRACKER'!$AC$5:$AC$204&lt;="",9999999,'⚡ COMMAND TRACKER'!$AC$5:$AC$204),43),'⚡ COMMAND TRACKER'!$AC$5:$AC$204,0),"")),"")</f>
        <v/>
      </c>
      <c r="E46" s="34" t="str">
        <f aca="false">IFERROR(INDEX('⚡ COMMAND TRACKER'!$Y$5:$Y$204,IFERROR(MATCH(SMALL(IF('⚡ COMMAND TRACKER'!$AC$5:$AC$204&lt;="",9999999,'⚡ COMMAND TRACKER'!$AC$5:$AC$204),43),'⚡ COMMAND TRACKER'!$AC$5:$AC$204,0),"")),"")</f>
        <v/>
      </c>
      <c r="F46" s="18" t="str">
        <f aca="false">IFERROR(INDEX('⚡ COMMAND TRACKER'!$Z$5:$Z$204,IFERROR(MATCH(SMALL(IF('⚡ COMMAND TRACKER'!$AC$5:$AC$204&lt;="",9999999,'⚡ COMMAND TRACKER'!$AC$5:$AC$204),43),'⚡ COMMAND TRACKER'!$AC$5:$AC$204,0),"")),"")</f>
        <v/>
      </c>
      <c r="G46" s="18" t="str">
        <f aca="false">IFERROR(INDEX('⚡ COMMAND TRACKER'!$U$5:$U$204,IFERROR(MATCH(SMALL(IF('⚡ COMMAND TRACKER'!$AC$5:$AC$204&lt;="",9999999,'⚡ COMMAND TRACKER'!$AC$5:$AC$204),43),'⚡ COMMAND TRACKER'!$AC$5:$AC$204,0),"")),"")</f>
        <v/>
      </c>
      <c r="H46" s="17" t="str">
        <f aca="false">IFERROR(INDEX('⚡ COMMAND TRACKER'!$X$5:$X$204,IFERROR(MATCH(SMALL(IF('⚡ COMMAND TRACKER'!$AC$5:$AC$204&lt;="",9999999,'⚡ COMMAND TRACKER'!$AC$5:$AC$204),43),'⚡ COMMAND TRACKER'!$AC$5:$AC$204,0),"")),"")</f>
        <v/>
      </c>
      <c r="I46" s="21" t="str">
        <f aca="false">IFERROR(INDEX('⚡ COMMAND TRACKER'!$AB$5:$AB$204,IFERROR(MATCH(SMALL(IF('⚡ COMMAND TRACKER'!$AC$5:$AC$204&lt;="",9999999,'⚡ COMMAND TRACKER'!$AC$5:$AC$204),43),'⚡ COMMAND TRACKER'!$AC$5:$AC$204,0),"")),"")</f>
        <v/>
      </c>
      <c r="J46" s="21" t="str">
        <f aca="false">IFERROR(INDEX('⚡ COMMAND TRACKER'!$AC$5:$AC$204,IFERROR(MATCH(SMALL(IF('⚡ COMMAND TRACKER'!$AC$5:$AC$204&lt;="",9999999,'⚡ COMMAND TRACKER'!$AC$5:$AC$204),43),'⚡ COMMAND TRACKER'!$AC$5:$AC$204,0),"")),"")</f>
        <v/>
      </c>
      <c r="K46" s="23" t="str">
        <f aca="true">IFERROR(IF(J46="","",TODAY()-J46),"")</f>
        <v/>
      </c>
    </row>
    <row r="47" customFormat="false" ht="19.5" hidden="false" customHeight="true" outlineLevel="0" collapsed="false">
      <c r="A47" s="11" t="str">
        <f aca="true">IFERROR(IF(INDEX('⚡ COMMAND TRACKER'!$AC$5:$AC$204,IFERROR(MATCH(SMALL(IF('⚡ COMMAND TRACKER'!$AC$5:$AC$204&lt;="",9999999,'⚡ COMMAND TRACKER'!$AC$5:$AC$204),44),'⚡ COMMAND TRACKER'!$AC$5:$AC$204,0),""))-TODAY()&lt;0,"🚨 OVERDUE",IF(INDEX('⚡ COMMAND TRACKER'!$AC$5:$AC$204,IFERROR(MATCH(SMALL(IF('⚡ COMMAND TRACKER'!$AC$5:$AC$204&lt;="",9999999,'⚡ COMMAND TRACKER'!$AC$5:$AC$204),44),'⚡ COMMAND TRACKER'!$AC$5:$AC$204,0),""))-TODAY()&lt;=1,"🔔 DUE NOW","📋 UPCOMING")),"")</f>
        <v/>
      </c>
      <c r="B47" s="10" t="str">
        <f aca="false">IFERROR(INDEX('⚡ COMMAND TRACKER'!$A$5:$A$204,IFERROR(MATCH(SMALL(IF('⚡ COMMAND TRACKER'!$AC$5:$AC$204&lt;="",9999999,'⚡ COMMAND TRACKER'!$AC$5:$AC$204),44),'⚡ COMMAND TRACKER'!$AC$5:$AC$204,0),"")),"")</f>
        <v/>
      </c>
      <c r="C47" s="10" t="str">
        <f aca="false">IFERROR(INDEX('⚡ COMMAND TRACKER'!$E$5:$E$204,IFERROR(MATCH(SMALL(IF('⚡ COMMAND TRACKER'!$AC$5:$AC$204&lt;="",9999999,'⚡ COMMAND TRACKER'!$AC$5:$AC$204),44),'⚡ COMMAND TRACKER'!$AC$5:$AC$204,0),"")),"")</f>
        <v/>
      </c>
      <c r="D47" s="30" t="str">
        <f aca="false">IFERROR(INDEX('⚡ COMMAND TRACKER'!$B$5:$B$204,IFERROR(MATCH(SMALL(IF('⚡ COMMAND TRACKER'!$AC$5:$AC$204&lt;="",9999999,'⚡ COMMAND TRACKER'!$AC$5:$AC$204),44),'⚡ COMMAND TRACKER'!$AC$5:$AC$204,0),"")),"")</f>
        <v/>
      </c>
      <c r="E47" s="35" t="str">
        <f aca="false">IFERROR(INDEX('⚡ COMMAND TRACKER'!$Y$5:$Y$204,IFERROR(MATCH(SMALL(IF('⚡ COMMAND TRACKER'!$AC$5:$AC$204&lt;="",9999999,'⚡ COMMAND TRACKER'!$AC$5:$AC$204),44),'⚡ COMMAND TRACKER'!$AC$5:$AC$204,0),"")),"")</f>
        <v/>
      </c>
      <c r="F47" s="11" t="str">
        <f aca="false">IFERROR(INDEX('⚡ COMMAND TRACKER'!$Z$5:$Z$204,IFERROR(MATCH(SMALL(IF('⚡ COMMAND TRACKER'!$AC$5:$AC$204&lt;="",9999999,'⚡ COMMAND TRACKER'!$AC$5:$AC$204),44),'⚡ COMMAND TRACKER'!$AC$5:$AC$204,0),"")),"")</f>
        <v/>
      </c>
      <c r="G47" s="11" t="str">
        <f aca="false">IFERROR(INDEX('⚡ COMMAND TRACKER'!$U$5:$U$204,IFERROR(MATCH(SMALL(IF('⚡ COMMAND TRACKER'!$AC$5:$AC$204&lt;="",9999999,'⚡ COMMAND TRACKER'!$AC$5:$AC$204),44),'⚡ COMMAND TRACKER'!$AC$5:$AC$204,0),"")),"")</f>
        <v/>
      </c>
      <c r="H47" s="10" t="str">
        <f aca="false">IFERROR(INDEX('⚡ COMMAND TRACKER'!$X$5:$X$204,IFERROR(MATCH(SMALL(IF('⚡ COMMAND TRACKER'!$AC$5:$AC$204&lt;="",9999999,'⚡ COMMAND TRACKER'!$AC$5:$AC$204),44),'⚡ COMMAND TRACKER'!$AC$5:$AC$204,0),"")),"")</f>
        <v/>
      </c>
      <c r="I47" s="14" t="str">
        <f aca="false">IFERROR(INDEX('⚡ COMMAND TRACKER'!$AB$5:$AB$204,IFERROR(MATCH(SMALL(IF('⚡ COMMAND TRACKER'!$AC$5:$AC$204&lt;="",9999999,'⚡ COMMAND TRACKER'!$AC$5:$AC$204),44),'⚡ COMMAND TRACKER'!$AC$5:$AC$204,0),"")),"")</f>
        <v/>
      </c>
      <c r="J47" s="14" t="str">
        <f aca="false">IFERROR(INDEX('⚡ COMMAND TRACKER'!$AC$5:$AC$204,IFERROR(MATCH(SMALL(IF('⚡ COMMAND TRACKER'!$AC$5:$AC$204&lt;="",9999999,'⚡ COMMAND TRACKER'!$AC$5:$AC$204),44),'⚡ COMMAND TRACKER'!$AC$5:$AC$204,0),"")),"")</f>
        <v/>
      </c>
      <c r="K47" s="16" t="str">
        <f aca="true">IFERROR(IF(J47="","",TODAY()-J47),"")</f>
        <v/>
      </c>
    </row>
    <row r="48" customFormat="false" ht="19.5" hidden="false" customHeight="true" outlineLevel="0" collapsed="false">
      <c r="A48" s="18" t="str">
        <f aca="true">IFERROR(IF(INDEX('⚡ COMMAND TRACKER'!$AC$5:$AC$204,IFERROR(MATCH(SMALL(IF('⚡ COMMAND TRACKER'!$AC$5:$AC$204&lt;="",9999999,'⚡ COMMAND TRACKER'!$AC$5:$AC$204),45),'⚡ COMMAND TRACKER'!$AC$5:$AC$204,0),""))-TODAY()&lt;0,"🚨 OVERDUE",IF(INDEX('⚡ COMMAND TRACKER'!$AC$5:$AC$204,IFERROR(MATCH(SMALL(IF('⚡ COMMAND TRACKER'!$AC$5:$AC$204&lt;="",9999999,'⚡ COMMAND TRACKER'!$AC$5:$AC$204),45),'⚡ COMMAND TRACKER'!$AC$5:$AC$204,0),""))-TODAY()&lt;=1,"🔔 DUE NOW","📋 UPCOMING")),"")</f>
        <v/>
      </c>
      <c r="B48" s="17" t="str">
        <f aca="false">IFERROR(INDEX('⚡ COMMAND TRACKER'!$A$5:$A$204,IFERROR(MATCH(SMALL(IF('⚡ COMMAND TRACKER'!$AC$5:$AC$204&lt;="",9999999,'⚡ COMMAND TRACKER'!$AC$5:$AC$204),45),'⚡ COMMAND TRACKER'!$AC$5:$AC$204,0),"")),"")</f>
        <v/>
      </c>
      <c r="C48" s="17" t="str">
        <f aca="false">IFERROR(INDEX('⚡ COMMAND TRACKER'!$E$5:$E$204,IFERROR(MATCH(SMALL(IF('⚡ COMMAND TRACKER'!$AC$5:$AC$204&lt;="",9999999,'⚡ COMMAND TRACKER'!$AC$5:$AC$204),45),'⚡ COMMAND TRACKER'!$AC$5:$AC$204,0),"")),"")</f>
        <v/>
      </c>
      <c r="D48" s="27" t="str">
        <f aca="false">IFERROR(INDEX('⚡ COMMAND TRACKER'!$B$5:$B$204,IFERROR(MATCH(SMALL(IF('⚡ COMMAND TRACKER'!$AC$5:$AC$204&lt;="",9999999,'⚡ COMMAND TRACKER'!$AC$5:$AC$204),45),'⚡ COMMAND TRACKER'!$AC$5:$AC$204,0),"")),"")</f>
        <v/>
      </c>
      <c r="E48" s="34" t="str">
        <f aca="false">IFERROR(INDEX('⚡ COMMAND TRACKER'!$Y$5:$Y$204,IFERROR(MATCH(SMALL(IF('⚡ COMMAND TRACKER'!$AC$5:$AC$204&lt;="",9999999,'⚡ COMMAND TRACKER'!$AC$5:$AC$204),45),'⚡ COMMAND TRACKER'!$AC$5:$AC$204,0),"")),"")</f>
        <v/>
      </c>
      <c r="F48" s="18" t="str">
        <f aca="false">IFERROR(INDEX('⚡ COMMAND TRACKER'!$Z$5:$Z$204,IFERROR(MATCH(SMALL(IF('⚡ COMMAND TRACKER'!$AC$5:$AC$204&lt;="",9999999,'⚡ COMMAND TRACKER'!$AC$5:$AC$204),45),'⚡ COMMAND TRACKER'!$AC$5:$AC$204,0),"")),"")</f>
        <v/>
      </c>
      <c r="G48" s="18" t="str">
        <f aca="false">IFERROR(INDEX('⚡ COMMAND TRACKER'!$U$5:$U$204,IFERROR(MATCH(SMALL(IF('⚡ COMMAND TRACKER'!$AC$5:$AC$204&lt;="",9999999,'⚡ COMMAND TRACKER'!$AC$5:$AC$204),45),'⚡ COMMAND TRACKER'!$AC$5:$AC$204,0),"")),"")</f>
        <v/>
      </c>
      <c r="H48" s="17" t="str">
        <f aca="false">IFERROR(INDEX('⚡ COMMAND TRACKER'!$X$5:$X$204,IFERROR(MATCH(SMALL(IF('⚡ COMMAND TRACKER'!$AC$5:$AC$204&lt;="",9999999,'⚡ COMMAND TRACKER'!$AC$5:$AC$204),45),'⚡ COMMAND TRACKER'!$AC$5:$AC$204,0),"")),"")</f>
        <v/>
      </c>
      <c r="I48" s="21" t="str">
        <f aca="false">IFERROR(INDEX('⚡ COMMAND TRACKER'!$AB$5:$AB$204,IFERROR(MATCH(SMALL(IF('⚡ COMMAND TRACKER'!$AC$5:$AC$204&lt;="",9999999,'⚡ COMMAND TRACKER'!$AC$5:$AC$204),45),'⚡ COMMAND TRACKER'!$AC$5:$AC$204,0),"")),"")</f>
        <v/>
      </c>
      <c r="J48" s="21" t="str">
        <f aca="false">IFERROR(INDEX('⚡ COMMAND TRACKER'!$AC$5:$AC$204,IFERROR(MATCH(SMALL(IF('⚡ COMMAND TRACKER'!$AC$5:$AC$204&lt;="",9999999,'⚡ COMMAND TRACKER'!$AC$5:$AC$204),45),'⚡ COMMAND TRACKER'!$AC$5:$AC$204,0),"")),"")</f>
        <v/>
      </c>
      <c r="K48" s="23" t="str">
        <f aca="true">IFERROR(IF(J48="","",TODAY()-J48),"")</f>
        <v/>
      </c>
    </row>
    <row r="49" customFormat="false" ht="19.5" hidden="false" customHeight="true" outlineLevel="0" collapsed="false">
      <c r="A49" s="11" t="str">
        <f aca="true">IFERROR(IF(INDEX('⚡ COMMAND TRACKER'!$AC$5:$AC$204,IFERROR(MATCH(SMALL(IF('⚡ COMMAND TRACKER'!$AC$5:$AC$204&lt;="",9999999,'⚡ COMMAND TRACKER'!$AC$5:$AC$204),46),'⚡ COMMAND TRACKER'!$AC$5:$AC$204,0),""))-TODAY()&lt;0,"🚨 OVERDUE",IF(INDEX('⚡ COMMAND TRACKER'!$AC$5:$AC$204,IFERROR(MATCH(SMALL(IF('⚡ COMMAND TRACKER'!$AC$5:$AC$204&lt;="",9999999,'⚡ COMMAND TRACKER'!$AC$5:$AC$204),46),'⚡ COMMAND TRACKER'!$AC$5:$AC$204,0),""))-TODAY()&lt;=1,"🔔 DUE NOW","📋 UPCOMING")),"")</f>
        <v/>
      </c>
      <c r="B49" s="10" t="str">
        <f aca="false">IFERROR(INDEX('⚡ COMMAND TRACKER'!$A$5:$A$204,IFERROR(MATCH(SMALL(IF('⚡ COMMAND TRACKER'!$AC$5:$AC$204&lt;="",9999999,'⚡ COMMAND TRACKER'!$AC$5:$AC$204),46),'⚡ COMMAND TRACKER'!$AC$5:$AC$204,0),"")),"")</f>
        <v/>
      </c>
      <c r="C49" s="10" t="str">
        <f aca="false">IFERROR(INDEX('⚡ COMMAND TRACKER'!$E$5:$E$204,IFERROR(MATCH(SMALL(IF('⚡ COMMAND TRACKER'!$AC$5:$AC$204&lt;="",9999999,'⚡ COMMAND TRACKER'!$AC$5:$AC$204),46),'⚡ COMMAND TRACKER'!$AC$5:$AC$204,0),"")),"")</f>
        <v/>
      </c>
      <c r="D49" s="30" t="str">
        <f aca="false">IFERROR(INDEX('⚡ COMMAND TRACKER'!$B$5:$B$204,IFERROR(MATCH(SMALL(IF('⚡ COMMAND TRACKER'!$AC$5:$AC$204&lt;="",9999999,'⚡ COMMAND TRACKER'!$AC$5:$AC$204),46),'⚡ COMMAND TRACKER'!$AC$5:$AC$204,0),"")),"")</f>
        <v/>
      </c>
      <c r="E49" s="35" t="str">
        <f aca="false">IFERROR(INDEX('⚡ COMMAND TRACKER'!$Y$5:$Y$204,IFERROR(MATCH(SMALL(IF('⚡ COMMAND TRACKER'!$AC$5:$AC$204&lt;="",9999999,'⚡ COMMAND TRACKER'!$AC$5:$AC$204),46),'⚡ COMMAND TRACKER'!$AC$5:$AC$204,0),"")),"")</f>
        <v/>
      </c>
      <c r="F49" s="11" t="str">
        <f aca="false">IFERROR(INDEX('⚡ COMMAND TRACKER'!$Z$5:$Z$204,IFERROR(MATCH(SMALL(IF('⚡ COMMAND TRACKER'!$AC$5:$AC$204&lt;="",9999999,'⚡ COMMAND TRACKER'!$AC$5:$AC$204),46),'⚡ COMMAND TRACKER'!$AC$5:$AC$204,0),"")),"")</f>
        <v/>
      </c>
      <c r="G49" s="11" t="str">
        <f aca="false">IFERROR(INDEX('⚡ COMMAND TRACKER'!$U$5:$U$204,IFERROR(MATCH(SMALL(IF('⚡ COMMAND TRACKER'!$AC$5:$AC$204&lt;="",9999999,'⚡ COMMAND TRACKER'!$AC$5:$AC$204),46),'⚡ COMMAND TRACKER'!$AC$5:$AC$204,0),"")),"")</f>
        <v/>
      </c>
      <c r="H49" s="10" t="str">
        <f aca="false">IFERROR(INDEX('⚡ COMMAND TRACKER'!$X$5:$X$204,IFERROR(MATCH(SMALL(IF('⚡ COMMAND TRACKER'!$AC$5:$AC$204&lt;="",9999999,'⚡ COMMAND TRACKER'!$AC$5:$AC$204),46),'⚡ COMMAND TRACKER'!$AC$5:$AC$204,0),"")),"")</f>
        <v/>
      </c>
      <c r="I49" s="14" t="str">
        <f aca="false">IFERROR(INDEX('⚡ COMMAND TRACKER'!$AB$5:$AB$204,IFERROR(MATCH(SMALL(IF('⚡ COMMAND TRACKER'!$AC$5:$AC$204&lt;="",9999999,'⚡ COMMAND TRACKER'!$AC$5:$AC$204),46),'⚡ COMMAND TRACKER'!$AC$5:$AC$204,0),"")),"")</f>
        <v/>
      </c>
      <c r="J49" s="14" t="str">
        <f aca="false">IFERROR(INDEX('⚡ COMMAND TRACKER'!$AC$5:$AC$204,IFERROR(MATCH(SMALL(IF('⚡ COMMAND TRACKER'!$AC$5:$AC$204&lt;="",9999999,'⚡ COMMAND TRACKER'!$AC$5:$AC$204),46),'⚡ COMMAND TRACKER'!$AC$5:$AC$204,0),"")),"")</f>
        <v/>
      </c>
      <c r="K49" s="16" t="str">
        <f aca="true">IFERROR(IF(J49="","",TODAY()-J49),"")</f>
        <v/>
      </c>
    </row>
    <row r="50" customFormat="false" ht="19.5" hidden="false" customHeight="true" outlineLevel="0" collapsed="false">
      <c r="A50" s="18" t="str">
        <f aca="true">IFERROR(IF(INDEX('⚡ COMMAND TRACKER'!$AC$5:$AC$204,IFERROR(MATCH(SMALL(IF('⚡ COMMAND TRACKER'!$AC$5:$AC$204&lt;="",9999999,'⚡ COMMAND TRACKER'!$AC$5:$AC$204),47),'⚡ COMMAND TRACKER'!$AC$5:$AC$204,0),""))-TODAY()&lt;0,"🚨 OVERDUE",IF(INDEX('⚡ COMMAND TRACKER'!$AC$5:$AC$204,IFERROR(MATCH(SMALL(IF('⚡ COMMAND TRACKER'!$AC$5:$AC$204&lt;="",9999999,'⚡ COMMAND TRACKER'!$AC$5:$AC$204),47),'⚡ COMMAND TRACKER'!$AC$5:$AC$204,0),""))-TODAY()&lt;=1,"🔔 DUE NOW","📋 UPCOMING")),"")</f>
        <v/>
      </c>
      <c r="B50" s="17" t="str">
        <f aca="false">IFERROR(INDEX('⚡ COMMAND TRACKER'!$A$5:$A$204,IFERROR(MATCH(SMALL(IF('⚡ COMMAND TRACKER'!$AC$5:$AC$204&lt;="",9999999,'⚡ COMMAND TRACKER'!$AC$5:$AC$204),47),'⚡ COMMAND TRACKER'!$AC$5:$AC$204,0),"")),"")</f>
        <v/>
      </c>
      <c r="C50" s="17" t="str">
        <f aca="false">IFERROR(INDEX('⚡ COMMAND TRACKER'!$E$5:$E$204,IFERROR(MATCH(SMALL(IF('⚡ COMMAND TRACKER'!$AC$5:$AC$204&lt;="",9999999,'⚡ COMMAND TRACKER'!$AC$5:$AC$204),47),'⚡ COMMAND TRACKER'!$AC$5:$AC$204,0),"")),"")</f>
        <v/>
      </c>
      <c r="D50" s="27" t="str">
        <f aca="false">IFERROR(INDEX('⚡ COMMAND TRACKER'!$B$5:$B$204,IFERROR(MATCH(SMALL(IF('⚡ COMMAND TRACKER'!$AC$5:$AC$204&lt;="",9999999,'⚡ COMMAND TRACKER'!$AC$5:$AC$204),47),'⚡ COMMAND TRACKER'!$AC$5:$AC$204,0),"")),"")</f>
        <v/>
      </c>
      <c r="E50" s="34" t="str">
        <f aca="false">IFERROR(INDEX('⚡ COMMAND TRACKER'!$Y$5:$Y$204,IFERROR(MATCH(SMALL(IF('⚡ COMMAND TRACKER'!$AC$5:$AC$204&lt;="",9999999,'⚡ COMMAND TRACKER'!$AC$5:$AC$204),47),'⚡ COMMAND TRACKER'!$AC$5:$AC$204,0),"")),"")</f>
        <v/>
      </c>
      <c r="F50" s="18" t="str">
        <f aca="false">IFERROR(INDEX('⚡ COMMAND TRACKER'!$Z$5:$Z$204,IFERROR(MATCH(SMALL(IF('⚡ COMMAND TRACKER'!$AC$5:$AC$204&lt;="",9999999,'⚡ COMMAND TRACKER'!$AC$5:$AC$204),47),'⚡ COMMAND TRACKER'!$AC$5:$AC$204,0),"")),"")</f>
        <v/>
      </c>
      <c r="G50" s="18" t="str">
        <f aca="false">IFERROR(INDEX('⚡ COMMAND TRACKER'!$U$5:$U$204,IFERROR(MATCH(SMALL(IF('⚡ COMMAND TRACKER'!$AC$5:$AC$204&lt;="",9999999,'⚡ COMMAND TRACKER'!$AC$5:$AC$204),47),'⚡ COMMAND TRACKER'!$AC$5:$AC$204,0),"")),"")</f>
        <v/>
      </c>
      <c r="H50" s="17" t="str">
        <f aca="false">IFERROR(INDEX('⚡ COMMAND TRACKER'!$X$5:$X$204,IFERROR(MATCH(SMALL(IF('⚡ COMMAND TRACKER'!$AC$5:$AC$204&lt;="",9999999,'⚡ COMMAND TRACKER'!$AC$5:$AC$204),47),'⚡ COMMAND TRACKER'!$AC$5:$AC$204,0),"")),"")</f>
        <v/>
      </c>
      <c r="I50" s="21" t="str">
        <f aca="false">IFERROR(INDEX('⚡ COMMAND TRACKER'!$AB$5:$AB$204,IFERROR(MATCH(SMALL(IF('⚡ COMMAND TRACKER'!$AC$5:$AC$204&lt;="",9999999,'⚡ COMMAND TRACKER'!$AC$5:$AC$204),47),'⚡ COMMAND TRACKER'!$AC$5:$AC$204,0),"")),"")</f>
        <v/>
      </c>
      <c r="J50" s="21" t="str">
        <f aca="false">IFERROR(INDEX('⚡ COMMAND TRACKER'!$AC$5:$AC$204,IFERROR(MATCH(SMALL(IF('⚡ COMMAND TRACKER'!$AC$5:$AC$204&lt;="",9999999,'⚡ COMMAND TRACKER'!$AC$5:$AC$204),47),'⚡ COMMAND TRACKER'!$AC$5:$AC$204,0),"")),"")</f>
        <v/>
      </c>
      <c r="K50" s="23" t="str">
        <f aca="true">IFERROR(IF(J50="","",TODAY()-J50),"")</f>
        <v/>
      </c>
    </row>
    <row r="51" customFormat="false" ht="19.5" hidden="false" customHeight="true" outlineLevel="0" collapsed="false">
      <c r="A51" s="11" t="str">
        <f aca="true">IFERROR(IF(INDEX('⚡ COMMAND TRACKER'!$AC$5:$AC$204,IFERROR(MATCH(SMALL(IF('⚡ COMMAND TRACKER'!$AC$5:$AC$204&lt;="",9999999,'⚡ COMMAND TRACKER'!$AC$5:$AC$204),48),'⚡ COMMAND TRACKER'!$AC$5:$AC$204,0),""))-TODAY()&lt;0,"🚨 OVERDUE",IF(INDEX('⚡ COMMAND TRACKER'!$AC$5:$AC$204,IFERROR(MATCH(SMALL(IF('⚡ COMMAND TRACKER'!$AC$5:$AC$204&lt;="",9999999,'⚡ COMMAND TRACKER'!$AC$5:$AC$204),48),'⚡ COMMAND TRACKER'!$AC$5:$AC$204,0),""))-TODAY()&lt;=1,"🔔 DUE NOW","📋 UPCOMING")),"")</f>
        <v/>
      </c>
      <c r="B51" s="10" t="str">
        <f aca="false">IFERROR(INDEX('⚡ COMMAND TRACKER'!$A$5:$A$204,IFERROR(MATCH(SMALL(IF('⚡ COMMAND TRACKER'!$AC$5:$AC$204&lt;="",9999999,'⚡ COMMAND TRACKER'!$AC$5:$AC$204),48),'⚡ COMMAND TRACKER'!$AC$5:$AC$204,0),"")),"")</f>
        <v/>
      </c>
      <c r="C51" s="10" t="str">
        <f aca="false">IFERROR(INDEX('⚡ COMMAND TRACKER'!$E$5:$E$204,IFERROR(MATCH(SMALL(IF('⚡ COMMAND TRACKER'!$AC$5:$AC$204&lt;="",9999999,'⚡ COMMAND TRACKER'!$AC$5:$AC$204),48),'⚡ COMMAND TRACKER'!$AC$5:$AC$204,0),"")),"")</f>
        <v/>
      </c>
      <c r="D51" s="30" t="str">
        <f aca="false">IFERROR(INDEX('⚡ COMMAND TRACKER'!$B$5:$B$204,IFERROR(MATCH(SMALL(IF('⚡ COMMAND TRACKER'!$AC$5:$AC$204&lt;="",9999999,'⚡ COMMAND TRACKER'!$AC$5:$AC$204),48),'⚡ COMMAND TRACKER'!$AC$5:$AC$204,0),"")),"")</f>
        <v/>
      </c>
      <c r="E51" s="35" t="str">
        <f aca="false">IFERROR(INDEX('⚡ COMMAND TRACKER'!$Y$5:$Y$204,IFERROR(MATCH(SMALL(IF('⚡ COMMAND TRACKER'!$AC$5:$AC$204&lt;="",9999999,'⚡ COMMAND TRACKER'!$AC$5:$AC$204),48),'⚡ COMMAND TRACKER'!$AC$5:$AC$204,0),"")),"")</f>
        <v/>
      </c>
      <c r="F51" s="11" t="str">
        <f aca="false">IFERROR(INDEX('⚡ COMMAND TRACKER'!$Z$5:$Z$204,IFERROR(MATCH(SMALL(IF('⚡ COMMAND TRACKER'!$AC$5:$AC$204&lt;="",9999999,'⚡ COMMAND TRACKER'!$AC$5:$AC$204),48),'⚡ COMMAND TRACKER'!$AC$5:$AC$204,0),"")),"")</f>
        <v/>
      </c>
      <c r="G51" s="11" t="str">
        <f aca="false">IFERROR(INDEX('⚡ COMMAND TRACKER'!$U$5:$U$204,IFERROR(MATCH(SMALL(IF('⚡ COMMAND TRACKER'!$AC$5:$AC$204&lt;="",9999999,'⚡ COMMAND TRACKER'!$AC$5:$AC$204),48),'⚡ COMMAND TRACKER'!$AC$5:$AC$204,0),"")),"")</f>
        <v/>
      </c>
      <c r="H51" s="10" t="str">
        <f aca="false">IFERROR(INDEX('⚡ COMMAND TRACKER'!$X$5:$X$204,IFERROR(MATCH(SMALL(IF('⚡ COMMAND TRACKER'!$AC$5:$AC$204&lt;="",9999999,'⚡ COMMAND TRACKER'!$AC$5:$AC$204),48),'⚡ COMMAND TRACKER'!$AC$5:$AC$204,0),"")),"")</f>
        <v/>
      </c>
      <c r="I51" s="14" t="str">
        <f aca="false">IFERROR(INDEX('⚡ COMMAND TRACKER'!$AB$5:$AB$204,IFERROR(MATCH(SMALL(IF('⚡ COMMAND TRACKER'!$AC$5:$AC$204&lt;="",9999999,'⚡ COMMAND TRACKER'!$AC$5:$AC$204),48),'⚡ COMMAND TRACKER'!$AC$5:$AC$204,0),"")),"")</f>
        <v/>
      </c>
      <c r="J51" s="14" t="str">
        <f aca="false">IFERROR(INDEX('⚡ COMMAND TRACKER'!$AC$5:$AC$204,IFERROR(MATCH(SMALL(IF('⚡ COMMAND TRACKER'!$AC$5:$AC$204&lt;="",9999999,'⚡ COMMAND TRACKER'!$AC$5:$AC$204),48),'⚡ COMMAND TRACKER'!$AC$5:$AC$204,0),"")),"")</f>
        <v/>
      </c>
      <c r="K51" s="16" t="str">
        <f aca="true">IFERROR(IF(J51="","",TODAY()-J51),"")</f>
        <v/>
      </c>
    </row>
    <row r="52" customFormat="false" ht="19.5" hidden="false" customHeight="true" outlineLevel="0" collapsed="false">
      <c r="A52" s="18" t="str">
        <f aca="true">IFERROR(IF(INDEX('⚡ COMMAND TRACKER'!$AC$5:$AC$204,IFERROR(MATCH(SMALL(IF('⚡ COMMAND TRACKER'!$AC$5:$AC$204&lt;="",9999999,'⚡ COMMAND TRACKER'!$AC$5:$AC$204),49),'⚡ COMMAND TRACKER'!$AC$5:$AC$204,0),""))-TODAY()&lt;0,"🚨 OVERDUE",IF(INDEX('⚡ COMMAND TRACKER'!$AC$5:$AC$204,IFERROR(MATCH(SMALL(IF('⚡ COMMAND TRACKER'!$AC$5:$AC$204&lt;="",9999999,'⚡ COMMAND TRACKER'!$AC$5:$AC$204),49),'⚡ COMMAND TRACKER'!$AC$5:$AC$204,0),""))-TODAY()&lt;=1,"🔔 DUE NOW","📋 UPCOMING")),"")</f>
        <v/>
      </c>
      <c r="B52" s="17" t="str">
        <f aca="false">IFERROR(INDEX('⚡ COMMAND TRACKER'!$A$5:$A$204,IFERROR(MATCH(SMALL(IF('⚡ COMMAND TRACKER'!$AC$5:$AC$204&lt;="",9999999,'⚡ COMMAND TRACKER'!$AC$5:$AC$204),49),'⚡ COMMAND TRACKER'!$AC$5:$AC$204,0),"")),"")</f>
        <v/>
      </c>
      <c r="C52" s="17" t="str">
        <f aca="false">IFERROR(INDEX('⚡ COMMAND TRACKER'!$E$5:$E$204,IFERROR(MATCH(SMALL(IF('⚡ COMMAND TRACKER'!$AC$5:$AC$204&lt;="",9999999,'⚡ COMMAND TRACKER'!$AC$5:$AC$204),49),'⚡ COMMAND TRACKER'!$AC$5:$AC$204,0),"")),"")</f>
        <v/>
      </c>
      <c r="D52" s="27" t="str">
        <f aca="false">IFERROR(INDEX('⚡ COMMAND TRACKER'!$B$5:$B$204,IFERROR(MATCH(SMALL(IF('⚡ COMMAND TRACKER'!$AC$5:$AC$204&lt;="",9999999,'⚡ COMMAND TRACKER'!$AC$5:$AC$204),49),'⚡ COMMAND TRACKER'!$AC$5:$AC$204,0),"")),"")</f>
        <v/>
      </c>
      <c r="E52" s="34" t="str">
        <f aca="false">IFERROR(INDEX('⚡ COMMAND TRACKER'!$Y$5:$Y$204,IFERROR(MATCH(SMALL(IF('⚡ COMMAND TRACKER'!$AC$5:$AC$204&lt;="",9999999,'⚡ COMMAND TRACKER'!$AC$5:$AC$204),49),'⚡ COMMAND TRACKER'!$AC$5:$AC$204,0),"")),"")</f>
        <v/>
      </c>
      <c r="F52" s="18" t="str">
        <f aca="false">IFERROR(INDEX('⚡ COMMAND TRACKER'!$Z$5:$Z$204,IFERROR(MATCH(SMALL(IF('⚡ COMMAND TRACKER'!$AC$5:$AC$204&lt;="",9999999,'⚡ COMMAND TRACKER'!$AC$5:$AC$204),49),'⚡ COMMAND TRACKER'!$AC$5:$AC$204,0),"")),"")</f>
        <v/>
      </c>
      <c r="G52" s="18" t="str">
        <f aca="false">IFERROR(INDEX('⚡ COMMAND TRACKER'!$U$5:$U$204,IFERROR(MATCH(SMALL(IF('⚡ COMMAND TRACKER'!$AC$5:$AC$204&lt;="",9999999,'⚡ COMMAND TRACKER'!$AC$5:$AC$204),49),'⚡ COMMAND TRACKER'!$AC$5:$AC$204,0),"")),"")</f>
        <v/>
      </c>
      <c r="H52" s="17" t="str">
        <f aca="false">IFERROR(INDEX('⚡ COMMAND TRACKER'!$X$5:$X$204,IFERROR(MATCH(SMALL(IF('⚡ COMMAND TRACKER'!$AC$5:$AC$204&lt;="",9999999,'⚡ COMMAND TRACKER'!$AC$5:$AC$204),49),'⚡ COMMAND TRACKER'!$AC$5:$AC$204,0),"")),"")</f>
        <v/>
      </c>
      <c r="I52" s="21" t="str">
        <f aca="false">IFERROR(INDEX('⚡ COMMAND TRACKER'!$AB$5:$AB$204,IFERROR(MATCH(SMALL(IF('⚡ COMMAND TRACKER'!$AC$5:$AC$204&lt;="",9999999,'⚡ COMMAND TRACKER'!$AC$5:$AC$204),49),'⚡ COMMAND TRACKER'!$AC$5:$AC$204,0),"")),"")</f>
        <v/>
      </c>
      <c r="J52" s="21" t="str">
        <f aca="false">IFERROR(INDEX('⚡ COMMAND TRACKER'!$AC$5:$AC$204,IFERROR(MATCH(SMALL(IF('⚡ COMMAND TRACKER'!$AC$5:$AC$204&lt;="",9999999,'⚡ COMMAND TRACKER'!$AC$5:$AC$204),49),'⚡ COMMAND TRACKER'!$AC$5:$AC$204,0),"")),"")</f>
        <v/>
      </c>
      <c r="K52" s="23" t="str">
        <f aca="true">IFERROR(IF(J52="","",TODAY()-J52),"")</f>
        <v/>
      </c>
    </row>
    <row r="53" customFormat="false" ht="19.5" hidden="false" customHeight="true" outlineLevel="0" collapsed="false">
      <c r="A53" s="11" t="str">
        <f aca="true">IFERROR(IF(INDEX('⚡ COMMAND TRACKER'!$AC$5:$AC$204,IFERROR(MATCH(SMALL(IF('⚡ COMMAND TRACKER'!$AC$5:$AC$204&lt;="",9999999,'⚡ COMMAND TRACKER'!$AC$5:$AC$204),50),'⚡ COMMAND TRACKER'!$AC$5:$AC$204,0),""))-TODAY()&lt;0,"🚨 OVERDUE",IF(INDEX('⚡ COMMAND TRACKER'!$AC$5:$AC$204,IFERROR(MATCH(SMALL(IF('⚡ COMMAND TRACKER'!$AC$5:$AC$204&lt;="",9999999,'⚡ COMMAND TRACKER'!$AC$5:$AC$204),50),'⚡ COMMAND TRACKER'!$AC$5:$AC$204,0),""))-TODAY()&lt;=1,"🔔 DUE NOW","📋 UPCOMING")),"")</f>
        <v/>
      </c>
      <c r="B53" s="10" t="str">
        <f aca="false">IFERROR(INDEX('⚡ COMMAND TRACKER'!$A$5:$A$204,IFERROR(MATCH(SMALL(IF('⚡ COMMAND TRACKER'!$AC$5:$AC$204&lt;="",9999999,'⚡ COMMAND TRACKER'!$AC$5:$AC$204),50),'⚡ COMMAND TRACKER'!$AC$5:$AC$204,0),"")),"")</f>
        <v/>
      </c>
      <c r="C53" s="10" t="str">
        <f aca="false">IFERROR(INDEX('⚡ COMMAND TRACKER'!$E$5:$E$204,IFERROR(MATCH(SMALL(IF('⚡ COMMAND TRACKER'!$AC$5:$AC$204&lt;="",9999999,'⚡ COMMAND TRACKER'!$AC$5:$AC$204),50),'⚡ COMMAND TRACKER'!$AC$5:$AC$204,0),"")),"")</f>
        <v/>
      </c>
      <c r="D53" s="30" t="str">
        <f aca="false">IFERROR(INDEX('⚡ COMMAND TRACKER'!$B$5:$B$204,IFERROR(MATCH(SMALL(IF('⚡ COMMAND TRACKER'!$AC$5:$AC$204&lt;="",9999999,'⚡ COMMAND TRACKER'!$AC$5:$AC$204),50),'⚡ COMMAND TRACKER'!$AC$5:$AC$204,0),"")),"")</f>
        <v/>
      </c>
      <c r="E53" s="35" t="str">
        <f aca="false">IFERROR(INDEX('⚡ COMMAND TRACKER'!$Y$5:$Y$204,IFERROR(MATCH(SMALL(IF('⚡ COMMAND TRACKER'!$AC$5:$AC$204&lt;="",9999999,'⚡ COMMAND TRACKER'!$AC$5:$AC$204),50),'⚡ COMMAND TRACKER'!$AC$5:$AC$204,0),"")),"")</f>
        <v/>
      </c>
      <c r="F53" s="11" t="str">
        <f aca="false">IFERROR(INDEX('⚡ COMMAND TRACKER'!$Z$5:$Z$204,IFERROR(MATCH(SMALL(IF('⚡ COMMAND TRACKER'!$AC$5:$AC$204&lt;="",9999999,'⚡ COMMAND TRACKER'!$AC$5:$AC$204),50),'⚡ COMMAND TRACKER'!$AC$5:$AC$204,0),"")),"")</f>
        <v/>
      </c>
      <c r="G53" s="11" t="str">
        <f aca="false">IFERROR(INDEX('⚡ COMMAND TRACKER'!$U$5:$U$204,IFERROR(MATCH(SMALL(IF('⚡ COMMAND TRACKER'!$AC$5:$AC$204&lt;="",9999999,'⚡ COMMAND TRACKER'!$AC$5:$AC$204),50),'⚡ COMMAND TRACKER'!$AC$5:$AC$204,0),"")),"")</f>
        <v/>
      </c>
      <c r="H53" s="10" t="str">
        <f aca="false">IFERROR(INDEX('⚡ COMMAND TRACKER'!$X$5:$X$204,IFERROR(MATCH(SMALL(IF('⚡ COMMAND TRACKER'!$AC$5:$AC$204&lt;="",9999999,'⚡ COMMAND TRACKER'!$AC$5:$AC$204),50),'⚡ COMMAND TRACKER'!$AC$5:$AC$204,0),"")),"")</f>
        <v/>
      </c>
      <c r="I53" s="14" t="str">
        <f aca="false">IFERROR(INDEX('⚡ COMMAND TRACKER'!$AB$5:$AB$204,IFERROR(MATCH(SMALL(IF('⚡ COMMAND TRACKER'!$AC$5:$AC$204&lt;="",9999999,'⚡ COMMAND TRACKER'!$AC$5:$AC$204),50),'⚡ COMMAND TRACKER'!$AC$5:$AC$204,0),"")),"")</f>
        <v/>
      </c>
      <c r="J53" s="14" t="str">
        <f aca="false">IFERROR(INDEX('⚡ COMMAND TRACKER'!$AC$5:$AC$204,IFERROR(MATCH(SMALL(IF('⚡ COMMAND TRACKER'!$AC$5:$AC$204&lt;="",9999999,'⚡ COMMAND TRACKER'!$AC$5:$AC$204),50),'⚡ COMMAND TRACKER'!$AC$5:$AC$204,0),"")),"")</f>
        <v/>
      </c>
      <c r="K53" s="16" t="str">
        <f aca="true">IFERROR(IF(J53="","",TODAY()-J53),"")</f>
        <v/>
      </c>
    </row>
    <row r="54" customFormat="false" ht="19.5" hidden="false" customHeight="true" outlineLevel="0" collapsed="false">
      <c r="A54" s="18" t="str">
        <f aca="true">IFERROR(IF(INDEX('⚡ COMMAND TRACKER'!$AC$5:$AC$204,IFERROR(MATCH(SMALL(IF('⚡ COMMAND TRACKER'!$AC$5:$AC$204&lt;="",9999999,'⚡ COMMAND TRACKER'!$AC$5:$AC$204),51),'⚡ COMMAND TRACKER'!$AC$5:$AC$204,0),""))-TODAY()&lt;0,"🚨 OVERDUE",IF(INDEX('⚡ COMMAND TRACKER'!$AC$5:$AC$204,IFERROR(MATCH(SMALL(IF('⚡ COMMAND TRACKER'!$AC$5:$AC$204&lt;="",9999999,'⚡ COMMAND TRACKER'!$AC$5:$AC$204),51),'⚡ COMMAND TRACKER'!$AC$5:$AC$204,0),""))-TODAY()&lt;=1,"🔔 DUE NOW","📋 UPCOMING")),"")</f>
        <v/>
      </c>
      <c r="B54" s="17" t="str">
        <f aca="false">IFERROR(INDEX('⚡ COMMAND TRACKER'!$A$5:$A$204,IFERROR(MATCH(SMALL(IF('⚡ COMMAND TRACKER'!$AC$5:$AC$204&lt;="",9999999,'⚡ COMMAND TRACKER'!$AC$5:$AC$204),51),'⚡ COMMAND TRACKER'!$AC$5:$AC$204,0),"")),"")</f>
        <v/>
      </c>
      <c r="C54" s="17" t="str">
        <f aca="false">IFERROR(INDEX('⚡ COMMAND TRACKER'!$E$5:$E$204,IFERROR(MATCH(SMALL(IF('⚡ COMMAND TRACKER'!$AC$5:$AC$204&lt;="",9999999,'⚡ COMMAND TRACKER'!$AC$5:$AC$204),51),'⚡ COMMAND TRACKER'!$AC$5:$AC$204,0),"")),"")</f>
        <v/>
      </c>
      <c r="D54" s="27" t="str">
        <f aca="false">IFERROR(INDEX('⚡ COMMAND TRACKER'!$B$5:$B$204,IFERROR(MATCH(SMALL(IF('⚡ COMMAND TRACKER'!$AC$5:$AC$204&lt;="",9999999,'⚡ COMMAND TRACKER'!$AC$5:$AC$204),51),'⚡ COMMAND TRACKER'!$AC$5:$AC$204,0),"")),"")</f>
        <v/>
      </c>
      <c r="E54" s="34" t="str">
        <f aca="false">IFERROR(INDEX('⚡ COMMAND TRACKER'!$Y$5:$Y$204,IFERROR(MATCH(SMALL(IF('⚡ COMMAND TRACKER'!$AC$5:$AC$204&lt;="",9999999,'⚡ COMMAND TRACKER'!$AC$5:$AC$204),51),'⚡ COMMAND TRACKER'!$AC$5:$AC$204,0),"")),"")</f>
        <v/>
      </c>
      <c r="F54" s="18" t="str">
        <f aca="false">IFERROR(INDEX('⚡ COMMAND TRACKER'!$Z$5:$Z$204,IFERROR(MATCH(SMALL(IF('⚡ COMMAND TRACKER'!$AC$5:$AC$204&lt;="",9999999,'⚡ COMMAND TRACKER'!$AC$5:$AC$204),51),'⚡ COMMAND TRACKER'!$AC$5:$AC$204,0),"")),"")</f>
        <v/>
      </c>
      <c r="G54" s="18" t="str">
        <f aca="false">IFERROR(INDEX('⚡ COMMAND TRACKER'!$U$5:$U$204,IFERROR(MATCH(SMALL(IF('⚡ COMMAND TRACKER'!$AC$5:$AC$204&lt;="",9999999,'⚡ COMMAND TRACKER'!$AC$5:$AC$204),51),'⚡ COMMAND TRACKER'!$AC$5:$AC$204,0),"")),"")</f>
        <v/>
      </c>
      <c r="H54" s="17" t="str">
        <f aca="false">IFERROR(INDEX('⚡ COMMAND TRACKER'!$X$5:$X$204,IFERROR(MATCH(SMALL(IF('⚡ COMMAND TRACKER'!$AC$5:$AC$204&lt;="",9999999,'⚡ COMMAND TRACKER'!$AC$5:$AC$204),51),'⚡ COMMAND TRACKER'!$AC$5:$AC$204,0),"")),"")</f>
        <v/>
      </c>
      <c r="I54" s="21" t="str">
        <f aca="false">IFERROR(INDEX('⚡ COMMAND TRACKER'!$AB$5:$AB$204,IFERROR(MATCH(SMALL(IF('⚡ COMMAND TRACKER'!$AC$5:$AC$204&lt;="",9999999,'⚡ COMMAND TRACKER'!$AC$5:$AC$204),51),'⚡ COMMAND TRACKER'!$AC$5:$AC$204,0),"")),"")</f>
        <v/>
      </c>
      <c r="J54" s="21" t="str">
        <f aca="false">IFERROR(INDEX('⚡ COMMAND TRACKER'!$AC$5:$AC$204,IFERROR(MATCH(SMALL(IF('⚡ COMMAND TRACKER'!$AC$5:$AC$204&lt;="",9999999,'⚡ COMMAND TRACKER'!$AC$5:$AC$204),51),'⚡ COMMAND TRACKER'!$AC$5:$AC$204,0),"")),"")</f>
        <v/>
      </c>
      <c r="K54" s="23" t="str">
        <f aca="true">IFERROR(IF(J54="","",TODAY()-J54),"")</f>
        <v/>
      </c>
    </row>
    <row r="55" customFormat="false" ht="19.5" hidden="false" customHeight="true" outlineLevel="0" collapsed="false">
      <c r="A55" s="11" t="str">
        <f aca="true">IFERROR(IF(INDEX('⚡ COMMAND TRACKER'!$AC$5:$AC$204,IFERROR(MATCH(SMALL(IF('⚡ COMMAND TRACKER'!$AC$5:$AC$204&lt;="",9999999,'⚡ COMMAND TRACKER'!$AC$5:$AC$204),52),'⚡ COMMAND TRACKER'!$AC$5:$AC$204,0),""))-TODAY()&lt;0,"🚨 OVERDUE",IF(INDEX('⚡ COMMAND TRACKER'!$AC$5:$AC$204,IFERROR(MATCH(SMALL(IF('⚡ COMMAND TRACKER'!$AC$5:$AC$204&lt;="",9999999,'⚡ COMMAND TRACKER'!$AC$5:$AC$204),52),'⚡ COMMAND TRACKER'!$AC$5:$AC$204,0),""))-TODAY()&lt;=1,"🔔 DUE NOW","📋 UPCOMING")),"")</f>
        <v/>
      </c>
      <c r="B55" s="10" t="str">
        <f aca="false">IFERROR(INDEX('⚡ COMMAND TRACKER'!$A$5:$A$204,IFERROR(MATCH(SMALL(IF('⚡ COMMAND TRACKER'!$AC$5:$AC$204&lt;="",9999999,'⚡ COMMAND TRACKER'!$AC$5:$AC$204),52),'⚡ COMMAND TRACKER'!$AC$5:$AC$204,0),"")),"")</f>
        <v/>
      </c>
      <c r="C55" s="10" t="str">
        <f aca="false">IFERROR(INDEX('⚡ COMMAND TRACKER'!$E$5:$E$204,IFERROR(MATCH(SMALL(IF('⚡ COMMAND TRACKER'!$AC$5:$AC$204&lt;="",9999999,'⚡ COMMAND TRACKER'!$AC$5:$AC$204),52),'⚡ COMMAND TRACKER'!$AC$5:$AC$204,0),"")),"")</f>
        <v/>
      </c>
      <c r="D55" s="30" t="str">
        <f aca="false">IFERROR(INDEX('⚡ COMMAND TRACKER'!$B$5:$B$204,IFERROR(MATCH(SMALL(IF('⚡ COMMAND TRACKER'!$AC$5:$AC$204&lt;="",9999999,'⚡ COMMAND TRACKER'!$AC$5:$AC$204),52),'⚡ COMMAND TRACKER'!$AC$5:$AC$204,0),"")),"")</f>
        <v/>
      </c>
      <c r="E55" s="35" t="str">
        <f aca="false">IFERROR(INDEX('⚡ COMMAND TRACKER'!$Y$5:$Y$204,IFERROR(MATCH(SMALL(IF('⚡ COMMAND TRACKER'!$AC$5:$AC$204&lt;="",9999999,'⚡ COMMAND TRACKER'!$AC$5:$AC$204),52),'⚡ COMMAND TRACKER'!$AC$5:$AC$204,0),"")),"")</f>
        <v/>
      </c>
      <c r="F55" s="11" t="str">
        <f aca="false">IFERROR(INDEX('⚡ COMMAND TRACKER'!$Z$5:$Z$204,IFERROR(MATCH(SMALL(IF('⚡ COMMAND TRACKER'!$AC$5:$AC$204&lt;="",9999999,'⚡ COMMAND TRACKER'!$AC$5:$AC$204),52),'⚡ COMMAND TRACKER'!$AC$5:$AC$204,0),"")),"")</f>
        <v/>
      </c>
      <c r="G55" s="11" t="str">
        <f aca="false">IFERROR(INDEX('⚡ COMMAND TRACKER'!$U$5:$U$204,IFERROR(MATCH(SMALL(IF('⚡ COMMAND TRACKER'!$AC$5:$AC$204&lt;="",9999999,'⚡ COMMAND TRACKER'!$AC$5:$AC$204),52),'⚡ COMMAND TRACKER'!$AC$5:$AC$204,0),"")),"")</f>
        <v/>
      </c>
      <c r="H55" s="10" t="str">
        <f aca="false">IFERROR(INDEX('⚡ COMMAND TRACKER'!$X$5:$X$204,IFERROR(MATCH(SMALL(IF('⚡ COMMAND TRACKER'!$AC$5:$AC$204&lt;="",9999999,'⚡ COMMAND TRACKER'!$AC$5:$AC$204),52),'⚡ COMMAND TRACKER'!$AC$5:$AC$204,0),"")),"")</f>
        <v/>
      </c>
      <c r="I55" s="14" t="str">
        <f aca="false">IFERROR(INDEX('⚡ COMMAND TRACKER'!$AB$5:$AB$204,IFERROR(MATCH(SMALL(IF('⚡ COMMAND TRACKER'!$AC$5:$AC$204&lt;="",9999999,'⚡ COMMAND TRACKER'!$AC$5:$AC$204),52),'⚡ COMMAND TRACKER'!$AC$5:$AC$204,0),"")),"")</f>
        <v/>
      </c>
      <c r="J55" s="14" t="str">
        <f aca="false">IFERROR(INDEX('⚡ COMMAND TRACKER'!$AC$5:$AC$204,IFERROR(MATCH(SMALL(IF('⚡ COMMAND TRACKER'!$AC$5:$AC$204&lt;="",9999999,'⚡ COMMAND TRACKER'!$AC$5:$AC$204),52),'⚡ COMMAND TRACKER'!$AC$5:$AC$204,0),"")),"")</f>
        <v/>
      </c>
      <c r="K55" s="16" t="str">
        <f aca="true">IFERROR(IF(J55="","",TODAY()-J55),"")</f>
        <v/>
      </c>
    </row>
    <row r="56" customFormat="false" ht="19.5" hidden="false" customHeight="true" outlineLevel="0" collapsed="false">
      <c r="A56" s="18" t="str">
        <f aca="true">IFERROR(IF(INDEX('⚡ COMMAND TRACKER'!$AC$5:$AC$204,IFERROR(MATCH(SMALL(IF('⚡ COMMAND TRACKER'!$AC$5:$AC$204&lt;="",9999999,'⚡ COMMAND TRACKER'!$AC$5:$AC$204),53),'⚡ COMMAND TRACKER'!$AC$5:$AC$204,0),""))-TODAY()&lt;0,"🚨 OVERDUE",IF(INDEX('⚡ COMMAND TRACKER'!$AC$5:$AC$204,IFERROR(MATCH(SMALL(IF('⚡ COMMAND TRACKER'!$AC$5:$AC$204&lt;="",9999999,'⚡ COMMAND TRACKER'!$AC$5:$AC$204),53),'⚡ COMMAND TRACKER'!$AC$5:$AC$204,0),""))-TODAY()&lt;=1,"🔔 DUE NOW","📋 UPCOMING")),"")</f>
        <v/>
      </c>
      <c r="B56" s="17" t="str">
        <f aca="false">IFERROR(INDEX('⚡ COMMAND TRACKER'!$A$5:$A$204,IFERROR(MATCH(SMALL(IF('⚡ COMMAND TRACKER'!$AC$5:$AC$204&lt;="",9999999,'⚡ COMMAND TRACKER'!$AC$5:$AC$204),53),'⚡ COMMAND TRACKER'!$AC$5:$AC$204,0),"")),"")</f>
        <v/>
      </c>
      <c r="C56" s="17" t="str">
        <f aca="false">IFERROR(INDEX('⚡ COMMAND TRACKER'!$E$5:$E$204,IFERROR(MATCH(SMALL(IF('⚡ COMMAND TRACKER'!$AC$5:$AC$204&lt;="",9999999,'⚡ COMMAND TRACKER'!$AC$5:$AC$204),53),'⚡ COMMAND TRACKER'!$AC$5:$AC$204,0),"")),"")</f>
        <v/>
      </c>
      <c r="D56" s="27" t="str">
        <f aca="false">IFERROR(INDEX('⚡ COMMAND TRACKER'!$B$5:$B$204,IFERROR(MATCH(SMALL(IF('⚡ COMMAND TRACKER'!$AC$5:$AC$204&lt;="",9999999,'⚡ COMMAND TRACKER'!$AC$5:$AC$204),53),'⚡ COMMAND TRACKER'!$AC$5:$AC$204,0),"")),"")</f>
        <v/>
      </c>
      <c r="E56" s="34" t="str">
        <f aca="false">IFERROR(INDEX('⚡ COMMAND TRACKER'!$Y$5:$Y$204,IFERROR(MATCH(SMALL(IF('⚡ COMMAND TRACKER'!$AC$5:$AC$204&lt;="",9999999,'⚡ COMMAND TRACKER'!$AC$5:$AC$204),53),'⚡ COMMAND TRACKER'!$AC$5:$AC$204,0),"")),"")</f>
        <v/>
      </c>
      <c r="F56" s="18" t="str">
        <f aca="false">IFERROR(INDEX('⚡ COMMAND TRACKER'!$Z$5:$Z$204,IFERROR(MATCH(SMALL(IF('⚡ COMMAND TRACKER'!$AC$5:$AC$204&lt;="",9999999,'⚡ COMMAND TRACKER'!$AC$5:$AC$204),53),'⚡ COMMAND TRACKER'!$AC$5:$AC$204,0),"")),"")</f>
        <v/>
      </c>
      <c r="G56" s="18" t="str">
        <f aca="false">IFERROR(INDEX('⚡ COMMAND TRACKER'!$U$5:$U$204,IFERROR(MATCH(SMALL(IF('⚡ COMMAND TRACKER'!$AC$5:$AC$204&lt;="",9999999,'⚡ COMMAND TRACKER'!$AC$5:$AC$204),53),'⚡ COMMAND TRACKER'!$AC$5:$AC$204,0),"")),"")</f>
        <v/>
      </c>
      <c r="H56" s="17" t="str">
        <f aca="false">IFERROR(INDEX('⚡ COMMAND TRACKER'!$X$5:$X$204,IFERROR(MATCH(SMALL(IF('⚡ COMMAND TRACKER'!$AC$5:$AC$204&lt;="",9999999,'⚡ COMMAND TRACKER'!$AC$5:$AC$204),53),'⚡ COMMAND TRACKER'!$AC$5:$AC$204,0),"")),"")</f>
        <v/>
      </c>
      <c r="I56" s="21" t="str">
        <f aca="false">IFERROR(INDEX('⚡ COMMAND TRACKER'!$AB$5:$AB$204,IFERROR(MATCH(SMALL(IF('⚡ COMMAND TRACKER'!$AC$5:$AC$204&lt;="",9999999,'⚡ COMMAND TRACKER'!$AC$5:$AC$204),53),'⚡ COMMAND TRACKER'!$AC$5:$AC$204,0),"")),"")</f>
        <v/>
      </c>
      <c r="J56" s="21" t="str">
        <f aca="false">IFERROR(INDEX('⚡ COMMAND TRACKER'!$AC$5:$AC$204,IFERROR(MATCH(SMALL(IF('⚡ COMMAND TRACKER'!$AC$5:$AC$204&lt;="",9999999,'⚡ COMMAND TRACKER'!$AC$5:$AC$204),53),'⚡ COMMAND TRACKER'!$AC$5:$AC$204,0),"")),"")</f>
        <v/>
      </c>
      <c r="K56" s="23" t="str">
        <f aca="true">IFERROR(IF(J56="","",TODAY()-J56),"")</f>
        <v/>
      </c>
    </row>
    <row r="57" customFormat="false" ht="19.5" hidden="false" customHeight="true" outlineLevel="0" collapsed="false">
      <c r="A57" s="11" t="str">
        <f aca="true">IFERROR(IF(INDEX('⚡ COMMAND TRACKER'!$AC$5:$AC$204,IFERROR(MATCH(SMALL(IF('⚡ COMMAND TRACKER'!$AC$5:$AC$204&lt;="",9999999,'⚡ COMMAND TRACKER'!$AC$5:$AC$204),54),'⚡ COMMAND TRACKER'!$AC$5:$AC$204,0),""))-TODAY()&lt;0,"🚨 OVERDUE",IF(INDEX('⚡ COMMAND TRACKER'!$AC$5:$AC$204,IFERROR(MATCH(SMALL(IF('⚡ COMMAND TRACKER'!$AC$5:$AC$204&lt;="",9999999,'⚡ COMMAND TRACKER'!$AC$5:$AC$204),54),'⚡ COMMAND TRACKER'!$AC$5:$AC$204,0),""))-TODAY()&lt;=1,"🔔 DUE NOW","📋 UPCOMING")),"")</f>
        <v/>
      </c>
      <c r="B57" s="10" t="str">
        <f aca="false">IFERROR(INDEX('⚡ COMMAND TRACKER'!$A$5:$A$204,IFERROR(MATCH(SMALL(IF('⚡ COMMAND TRACKER'!$AC$5:$AC$204&lt;="",9999999,'⚡ COMMAND TRACKER'!$AC$5:$AC$204),54),'⚡ COMMAND TRACKER'!$AC$5:$AC$204,0),"")),"")</f>
        <v/>
      </c>
      <c r="C57" s="10" t="str">
        <f aca="false">IFERROR(INDEX('⚡ COMMAND TRACKER'!$E$5:$E$204,IFERROR(MATCH(SMALL(IF('⚡ COMMAND TRACKER'!$AC$5:$AC$204&lt;="",9999999,'⚡ COMMAND TRACKER'!$AC$5:$AC$204),54),'⚡ COMMAND TRACKER'!$AC$5:$AC$204,0),"")),"")</f>
        <v/>
      </c>
      <c r="D57" s="30" t="str">
        <f aca="false">IFERROR(INDEX('⚡ COMMAND TRACKER'!$B$5:$B$204,IFERROR(MATCH(SMALL(IF('⚡ COMMAND TRACKER'!$AC$5:$AC$204&lt;="",9999999,'⚡ COMMAND TRACKER'!$AC$5:$AC$204),54),'⚡ COMMAND TRACKER'!$AC$5:$AC$204,0),"")),"")</f>
        <v/>
      </c>
      <c r="E57" s="35" t="str">
        <f aca="false">IFERROR(INDEX('⚡ COMMAND TRACKER'!$Y$5:$Y$204,IFERROR(MATCH(SMALL(IF('⚡ COMMAND TRACKER'!$AC$5:$AC$204&lt;="",9999999,'⚡ COMMAND TRACKER'!$AC$5:$AC$204),54),'⚡ COMMAND TRACKER'!$AC$5:$AC$204,0),"")),"")</f>
        <v/>
      </c>
      <c r="F57" s="11" t="str">
        <f aca="false">IFERROR(INDEX('⚡ COMMAND TRACKER'!$Z$5:$Z$204,IFERROR(MATCH(SMALL(IF('⚡ COMMAND TRACKER'!$AC$5:$AC$204&lt;="",9999999,'⚡ COMMAND TRACKER'!$AC$5:$AC$204),54),'⚡ COMMAND TRACKER'!$AC$5:$AC$204,0),"")),"")</f>
        <v/>
      </c>
      <c r="G57" s="11" t="str">
        <f aca="false">IFERROR(INDEX('⚡ COMMAND TRACKER'!$U$5:$U$204,IFERROR(MATCH(SMALL(IF('⚡ COMMAND TRACKER'!$AC$5:$AC$204&lt;="",9999999,'⚡ COMMAND TRACKER'!$AC$5:$AC$204),54),'⚡ COMMAND TRACKER'!$AC$5:$AC$204,0),"")),"")</f>
        <v/>
      </c>
      <c r="H57" s="10" t="str">
        <f aca="false">IFERROR(INDEX('⚡ COMMAND TRACKER'!$X$5:$X$204,IFERROR(MATCH(SMALL(IF('⚡ COMMAND TRACKER'!$AC$5:$AC$204&lt;="",9999999,'⚡ COMMAND TRACKER'!$AC$5:$AC$204),54),'⚡ COMMAND TRACKER'!$AC$5:$AC$204,0),"")),"")</f>
        <v/>
      </c>
      <c r="I57" s="14" t="str">
        <f aca="false">IFERROR(INDEX('⚡ COMMAND TRACKER'!$AB$5:$AB$204,IFERROR(MATCH(SMALL(IF('⚡ COMMAND TRACKER'!$AC$5:$AC$204&lt;="",9999999,'⚡ COMMAND TRACKER'!$AC$5:$AC$204),54),'⚡ COMMAND TRACKER'!$AC$5:$AC$204,0),"")),"")</f>
        <v/>
      </c>
      <c r="J57" s="14" t="str">
        <f aca="false">IFERROR(INDEX('⚡ COMMAND TRACKER'!$AC$5:$AC$204,IFERROR(MATCH(SMALL(IF('⚡ COMMAND TRACKER'!$AC$5:$AC$204&lt;="",9999999,'⚡ COMMAND TRACKER'!$AC$5:$AC$204),54),'⚡ COMMAND TRACKER'!$AC$5:$AC$204,0),"")),"")</f>
        <v/>
      </c>
      <c r="K57" s="16" t="str">
        <f aca="true">IFERROR(IF(J57="","",TODAY()-J57),"")</f>
        <v/>
      </c>
    </row>
    <row r="58" customFormat="false" ht="19.5" hidden="false" customHeight="true" outlineLevel="0" collapsed="false">
      <c r="A58" s="18" t="str">
        <f aca="true">IFERROR(IF(INDEX('⚡ COMMAND TRACKER'!$AC$5:$AC$204,IFERROR(MATCH(SMALL(IF('⚡ COMMAND TRACKER'!$AC$5:$AC$204&lt;="",9999999,'⚡ COMMAND TRACKER'!$AC$5:$AC$204),55),'⚡ COMMAND TRACKER'!$AC$5:$AC$204,0),""))-TODAY()&lt;0,"🚨 OVERDUE",IF(INDEX('⚡ COMMAND TRACKER'!$AC$5:$AC$204,IFERROR(MATCH(SMALL(IF('⚡ COMMAND TRACKER'!$AC$5:$AC$204&lt;="",9999999,'⚡ COMMAND TRACKER'!$AC$5:$AC$204),55),'⚡ COMMAND TRACKER'!$AC$5:$AC$204,0),""))-TODAY()&lt;=1,"🔔 DUE NOW","📋 UPCOMING")),"")</f>
        <v/>
      </c>
      <c r="B58" s="17" t="str">
        <f aca="false">IFERROR(INDEX('⚡ COMMAND TRACKER'!$A$5:$A$204,IFERROR(MATCH(SMALL(IF('⚡ COMMAND TRACKER'!$AC$5:$AC$204&lt;="",9999999,'⚡ COMMAND TRACKER'!$AC$5:$AC$204),55),'⚡ COMMAND TRACKER'!$AC$5:$AC$204,0),"")),"")</f>
        <v/>
      </c>
      <c r="C58" s="17" t="str">
        <f aca="false">IFERROR(INDEX('⚡ COMMAND TRACKER'!$E$5:$E$204,IFERROR(MATCH(SMALL(IF('⚡ COMMAND TRACKER'!$AC$5:$AC$204&lt;="",9999999,'⚡ COMMAND TRACKER'!$AC$5:$AC$204),55),'⚡ COMMAND TRACKER'!$AC$5:$AC$204,0),"")),"")</f>
        <v/>
      </c>
      <c r="D58" s="27" t="str">
        <f aca="false">IFERROR(INDEX('⚡ COMMAND TRACKER'!$B$5:$B$204,IFERROR(MATCH(SMALL(IF('⚡ COMMAND TRACKER'!$AC$5:$AC$204&lt;="",9999999,'⚡ COMMAND TRACKER'!$AC$5:$AC$204),55),'⚡ COMMAND TRACKER'!$AC$5:$AC$204,0),"")),"")</f>
        <v/>
      </c>
      <c r="E58" s="34" t="str">
        <f aca="false">IFERROR(INDEX('⚡ COMMAND TRACKER'!$Y$5:$Y$204,IFERROR(MATCH(SMALL(IF('⚡ COMMAND TRACKER'!$AC$5:$AC$204&lt;="",9999999,'⚡ COMMAND TRACKER'!$AC$5:$AC$204),55),'⚡ COMMAND TRACKER'!$AC$5:$AC$204,0),"")),"")</f>
        <v/>
      </c>
      <c r="F58" s="18" t="str">
        <f aca="false">IFERROR(INDEX('⚡ COMMAND TRACKER'!$Z$5:$Z$204,IFERROR(MATCH(SMALL(IF('⚡ COMMAND TRACKER'!$AC$5:$AC$204&lt;="",9999999,'⚡ COMMAND TRACKER'!$AC$5:$AC$204),55),'⚡ COMMAND TRACKER'!$AC$5:$AC$204,0),"")),"")</f>
        <v/>
      </c>
      <c r="G58" s="18" t="str">
        <f aca="false">IFERROR(INDEX('⚡ COMMAND TRACKER'!$U$5:$U$204,IFERROR(MATCH(SMALL(IF('⚡ COMMAND TRACKER'!$AC$5:$AC$204&lt;="",9999999,'⚡ COMMAND TRACKER'!$AC$5:$AC$204),55),'⚡ COMMAND TRACKER'!$AC$5:$AC$204,0),"")),"")</f>
        <v/>
      </c>
      <c r="H58" s="17" t="str">
        <f aca="false">IFERROR(INDEX('⚡ COMMAND TRACKER'!$X$5:$X$204,IFERROR(MATCH(SMALL(IF('⚡ COMMAND TRACKER'!$AC$5:$AC$204&lt;="",9999999,'⚡ COMMAND TRACKER'!$AC$5:$AC$204),55),'⚡ COMMAND TRACKER'!$AC$5:$AC$204,0),"")),"")</f>
        <v/>
      </c>
      <c r="I58" s="21" t="str">
        <f aca="false">IFERROR(INDEX('⚡ COMMAND TRACKER'!$AB$5:$AB$204,IFERROR(MATCH(SMALL(IF('⚡ COMMAND TRACKER'!$AC$5:$AC$204&lt;="",9999999,'⚡ COMMAND TRACKER'!$AC$5:$AC$204),55),'⚡ COMMAND TRACKER'!$AC$5:$AC$204,0),"")),"")</f>
        <v/>
      </c>
      <c r="J58" s="21" t="str">
        <f aca="false">IFERROR(INDEX('⚡ COMMAND TRACKER'!$AC$5:$AC$204,IFERROR(MATCH(SMALL(IF('⚡ COMMAND TRACKER'!$AC$5:$AC$204&lt;="",9999999,'⚡ COMMAND TRACKER'!$AC$5:$AC$204),55),'⚡ COMMAND TRACKER'!$AC$5:$AC$204,0),"")),"")</f>
        <v/>
      </c>
      <c r="K58" s="23" t="str">
        <f aca="true">IFERROR(IF(J58="","",TODAY()-J58),"")</f>
        <v/>
      </c>
    </row>
    <row r="59" customFormat="false" ht="19.5" hidden="false" customHeight="true" outlineLevel="0" collapsed="false">
      <c r="A59" s="11" t="str">
        <f aca="true">IFERROR(IF(INDEX('⚡ COMMAND TRACKER'!$AC$5:$AC$204,IFERROR(MATCH(SMALL(IF('⚡ COMMAND TRACKER'!$AC$5:$AC$204&lt;="",9999999,'⚡ COMMAND TRACKER'!$AC$5:$AC$204),56),'⚡ COMMAND TRACKER'!$AC$5:$AC$204,0),""))-TODAY()&lt;0,"🚨 OVERDUE",IF(INDEX('⚡ COMMAND TRACKER'!$AC$5:$AC$204,IFERROR(MATCH(SMALL(IF('⚡ COMMAND TRACKER'!$AC$5:$AC$204&lt;="",9999999,'⚡ COMMAND TRACKER'!$AC$5:$AC$204),56),'⚡ COMMAND TRACKER'!$AC$5:$AC$204,0),""))-TODAY()&lt;=1,"🔔 DUE NOW","📋 UPCOMING")),"")</f>
        <v/>
      </c>
      <c r="B59" s="10" t="str">
        <f aca="false">IFERROR(INDEX('⚡ COMMAND TRACKER'!$A$5:$A$204,IFERROR(MATCH(SMALL(IF('⚡ COMMAND TRACKER'!$AC$5:$AC$204&lt;="",9999999,'⚡ COMMAND TRACKER'!$AC$5:$AC$204),56),'⚡ COMMAND TRACKER'!$AC$5:$AC$204,0),"")),"")</f>
        <v/>
      </c>
      <c r="C59" s="10" t="str">
        <f aca="false">IFERROR(INDEX('⚡ COMMAND TRACKER'!$E$5:$E$204,IFERROR(MATCH(SMALL(IF('⚡ COMMAND TRACKER'!$AC$5:$AC$204&lt;="",9999999,'⚡ COMMAND TRACKER'!$AC$5:$AC$204),56),'⚡ COMMAND TRACKER'!$AC$5:$AC$204,0),"")),"")</f>
        <v/>
      </c>
      <c r="D59" s="30" t="str">
        <f aca="false">IFERROR(INDEX('⚡ COMMAND TRACKER'!$B$5:$B$204,IFERROR(MATCH(SMALL(IF('⚡ COMMAND TRACKER'!$AC$5:$AC$204&lt;="",9999999,'⚡ COMMAND TRACKER'!$AC$5:$AC$204),56),'⚡ COMMAND TRACKER'!$AC$5:$AC$204,0),"")),"")</f>
        <v/>
      </c>
      <c r="E59" s="35" t="str">
        <f aca="false">IFERROR(INDEX('⚡ COMMAND TRACKER'!$Y$5:$Y$204,IFERROR(MATCH(SMALL(IF('⚡ COMMAND TRACKER'!$AC$5:$AC$204&lt;="",9999999,'⚡ COMMAND TRACKER'!$AC$5:$AC$204),56),'⚡ COMMAND TRACKER'!$AC$5:$AC$204,0),"")),"")</f>
        <v/>
      </c>
      <c r="F59" s="11" t="str">
        <f aca="false">IFERROR(INDEX('⚡ COMMAND TRACKER'!$Z$5:$Z$204,IFERROR(MATCH(SMALL(IF('⚡ COMMAND TRACKER'!$AC$5:$AC$204&lt;="",9999999,'⚡ COMMAND TRACKER'!$AC$5:$AC$204),56),'⚡ COMMAND TRACKER'!$AC$5:$AC$204,0),"")),"")</f>
        <v/>
      </c>
      <c r="G59" s="11" t="str">
        <f aca="false">IFERROR(INDEX('⚡ COMMAND TRACKER'!$U$5:$U$204,IFERROR(MATCH(SMALL(IF('⚡ COMMAND TRACKER'!$AC$5:$AC$204&lt;="",9999999,'⚡ COMMAND TRACKER'!$AC$5:$AC$204),56),'⚡ COMMAND TRACKER'!$AC$5:$AC$204,0),"")),"")</f>
        <v/>
      </c>
      <c r="H59" s="10" t="str">
        <f aca="false">IFERROR(INDEX('⚡ COMMAND TRACKER'!$X$5:$X$204,IFERROR(MATCH(SMALL(IF('⚡ COMMAND TRACKER'!$AC$5:$AC$204&lt;="",9999999,'⚡ COMMAND TRACKER'!$AC$5:$AC$204),56),'⚡ COMMAND TRACKER'!$AC$5:$AC$204,0),"")),"")</f>
        <v/>
      </c>
      <c r="I59" s="14" t="str">
        <f aca="false">IFERROR(INDEX('⚡ COMMAND TRACKER'!$AB$5:$AB$204,IFERROR(MATCH(SMALL(IF('⚡ COMMAND TRACKER'!$AC$5:$AC$204&lt;="",9999999,'⚡ COMMAND TRACKER'!$AC$5:$AC$204),56),'⚡ COMMAND TRACKER'!$AC$5:$AC$204,0),"")),"")</f>
        <v/>
      </c>
      <c r="J59" s="14" t="str">
        <f aca="false">IFERROR(INDEX('⚡ COMMAND TRACKER'!$AC$5:$AC$204,IFERROR(MATCH(SMALL(IF('⚡ COMMAND TRACKER'!$AC$5:$AC$204&lt;="",9999999,'⚡ COMMAND TRACKER'!$AC$5:$AC$204),56),'⚡ COMMAND TRACKER'!$AC$5:$AC$204,0),"")),"")</f>
        <v/>
      </c>
      <c r="K59" s="16" t="str">
        <f aca="true">IFERROR(IF(J59="","",TODAY()-J59),"")</f>
        <v/>
      </c>
    </row>
    <row r="60" customFormat="false" ht="19.5" hidden="false" customHeight="true" outlineLevel="0" collapsed="false">
      <c r="A60" s="18" t="str">
        <f aca="true">IFERROR(IF(INDEX('⚡ COMMAND TRACKER'!$AC$5:$AC$204,IFERROR(MATCH(SMALL(IF('⚡ COMMAND TRACKER'!$AC$5:$AC$204&lt;="",9999999,'⚡ COMMAND TRACKER'!$AC$5:$AC$204),57),'⚡ COMMAND TRACKER'!$AC$5:$AC$204,0),""))-TODAY()&lt;0,"🚨 OVERDUE",IF(INDEX('⚡ COMMAND TRACKER'!$AC$5:$AC$204,IFERROR(MATCH(SMALL(IF('⚡ COMMAND TRACKER'!$AC$5:$AC$204&lt;="",9999999,'⚡ COMMAND TRACKER'!$AC$5:$AC$204),57),'⚡ COMMAND TRACKER'!$AC$5:$AC$204,0),""))-TODAY()&lt;=1,"🔔 DUE NOW","📋 UPCOMING")),"")</f>
        <v/>
      </c>
      <c r="B60" s="17" t="str">
        <f aca="false">IFERROR(INDEX('⚡ COMMAND TRACKER'!$A$5:$A$204,IFERROR(MATCH(SMALL(IF('⚡ COMMAND TRACKER'!$AC$5:$AC$204&lt;="",9999999,'⚡ COMMAND TRACKER'!$AC$5:$AC$204),57),'⚡ COMMAND TRACKER'!$AC$5:$AC$204,0),"")),"")</f>
        <v/>
      </c>
      <c r="C60" s="17" t="str">
        <f aca="false">IFERROR(INDEX('⚡ COMMAND TRACKER'!$E$5:$E$204,IFERROR(MATCH(SMALL(IF('⚡ COMMAND TRACKER'!$AC$5:$AC$204&lt;="",9999999,'⚡ COMMAND TRACKER'!$AC$5:$AC$204),57),'⚡ COMMAND TRACKER'!$AC$5:$AC$204,0),"")),"")</f>
        <v/>
      </c>
      <c r="D60" s="27" t="str">
        <f aca="false">IFERROR(INDEX('⚡ COMMAND TRACKER'!$B$5:$B$204,IFERROR(MATCH(SMALL(IF('⚡ COMMAND TRACKER'!$AC$5:$AC$204&lt;="",9999999,'⚡ COMMAND TRACKER'!$AC$5:$AC$204),57),'⚡ COMMAND TRACKER'!$AC$5:$AC$204,0),"")),"")</f>
        <v/>
      </c>
      <c r="E60" s="34" t="str">
        <f aca="false">IFERROR(INDEX('⚡ COMMAND TRACKER'!$Y$5:$Y$204,IFERROR(MATCH(SMALL(IF('⚡ COMMAND TRACKER'!$AC$5:$AC$204&lt;="",9999999,'⚡ COMMAND TRACKER'!$AC$5:$AC$204),57),'⚡ COMMAND TRACKER'!$AC$5:$AC$204,0),"")),"")</f>
        <v/>
      </c>
      <c r="F60" s="18" t="str">
        <f aca="false">IFERROR(INDEX('⚡ COMMAND TRACKER'!$Z$5:$Z$204,IFERROR(MATCH(SMALL(IF('⚡ COMMAND TRACKER'!$AC$5:$AC$204&lt;="",9999999,'⚡ COMMAND TRACKER'!$AC$5:$AC$204),57),'⚡ COMMAND TRACKER'!$AC$5:$AC$204,0),"")),"")</f>
        <v/>
      </c>
      <c r="G60" s="18" t="str">
        <f aca="false">IFERROR(INDEX('⚡ COMMAND TRACKER'!$U$5:$U$204,IFERROR(MATCH(SMALL(IF('⚡ COMMAND TRACKER'!$AC$5:$AC$204&lt;="",9999999,'⚡ COMMAND TRACKER'!$AC$5:$AC$204),57),'⚡ COMMAND TRACKER'!$AC$5:$AC$204,0),"")),"")</f>
        <v/>
      </c>
      <c r="H60" s="17" t="str">
        <f aca="false">IFERROR(INDEX('⚡ COMMAND TRACKER'!$X$5:$X$204,IFERROR(MATCH(SMALL(IF('⚡ COMMAND TRACKER'!$AC$5:$AC$204&lt;="",9999999,'⚡ COMMAND TRACKER'!$AC$5:$AC$204),57),'⚡ COMMAND TRACKER'!$AC$5:$AC$204,0),"")),"")</f>
        <v/>
      </c>
      <c r="I60" s="21" t="str">
        <f aca="false">IFERROR(INDEX('⚡ COMMAND TRACKER'!$AB$5:$AB$204,IFERROR(MATCH(SMALL(IF('⚡ COMMAND TRACKER'!$AC$5:$AC$204&lt;="",9999999,'⚡ COMMAND TRACKER'!$AC$5:$AC$204),57),'⚡ COMMAND TRACKER'!$AC$5:$AC$204,0),"")),"")</f>
        <v/>
      </c>
      <c r="J60" s="21" t="str">
        <f aca="false">IFERROR(INDEX('⚡ COMMAND TRACKER'!$AC$5:$AC$204,IFERROR(MATCH(SMALL(IF('⚡ COMMAND TRACKER'!$AC$5:$AC$204&lt;="",9999999,'⚡ COMMAND TRACKER'!$AC$5:$AC$204),57),'⚡ COMMAND TRACKER'!$AC$5:$AC$204,0),"")),"")</f>
        <v/>
      </c>
      <c r="K60" s="23" t="str">
        <f aca="true">IFERROR(IF(J60="","",TODAY()-J60),"")</f>
        <v/>
      </c>
    </row>
    <row r="61" customFormat="false" ht="19.5" hidden="false" customHeight="true" outlineLevel="0" collapsed="false">
      <c r="A61" s="11" t="str">
        <f aca="true">IFERROR(IF(INDEX('⚡ COMMAND TRACKER'!$AC$5:$AC$204,IFERROR(MATCH(SMALL(IF('⚡ COMMAND TRACKER'!$AC$5:$AC$204&lt;="",9999999,'⚡ COMMAND TRACKER'!$AC$5:$AC$204),58),'⚡ COMMAND TRACKER'!$AC$5:$AC$204,0),""))-TODAY()&lt;0,"🚨 OVERDUE",IF(INDEX('⚡ COMMAND TRACKER'!$AC$5:$AC$204,IFERROR(MATCH(SMALL(IF('⚡ COMMAND TRACKER'!$AC$5:$AC$204&lt;="",9999999,'⚡ COMMAND TRACKER'!$AC$5:$AC$204),58),'⚡ COMMAND TRACKER'!$AC$5:$AC$204,0),""))-TODAY()&lt;=1,"🔔 DUE NOW","📋 UPCOMING")),"")</f>
        <v/>
      </c>
      <c r="B61" s="10" t="str">
        <f aca="false">IFERROR(INDEX('⚡ COMMAND TRACKER'!$A$5:$A$204,IFERROR(MATCH(SMALL(IF('⚡ COMMAND TRACKER'!$AC$5:$AC$204&lt;="",9999999,'⚡ COMMAND TRACKER'!$AC$5:$AC$204),58),'⚡ COMMAND TRACKER'!$AC$5:$AC$204,0),"")),"")</f>
        <v/>
      </c>
      <c r="C61" s="10" t="str">
        <f aca="false">IFERROR(INDEX('⚡ COMMAND TRACKER'!$E$5:$E$204,IFERROR(MATCH(SMALL(IF('⚡ COMMAND TRACKER'!$AC$5:$AC$204&lt;="",9999999,'⚡ COMMAND TRACKER'!$AC$5:$AC$204),58),'⚡ COMMAND TRACKER'!$AC$5:$AC$204,0),"")),"")</f>
        <v/>
      </c>
      <c r="D61" s="30" t="str">
        <f aca="false">IFERROR(INDEX('⚡ COMMAND TRACKER'!$B$5:$B$204,IFERROR(MATCH(SMALL(IF('⚡ COMMAND TRACKER'!$AC$5:$AC$204&lt;="",9999999,'⚡ COMMAND TRACKER'!$AC$5:$AC$204),58),'⚡ COMMAND TRACKER'!$AC$5:$AC$204,0),"")),"")</f>
        <v/>
      </c>
      <c r="E61" s="35" t="str">
        <f aca="false">IFERROR(INDEX('⚡ COMMAND TRACKER'!$Y$5:$Y$204,IFERROR(MATCH(SMALL(IF('⚡ COMMAND TRACKER'!$AC$5:$AC$204&lt;="",9999999,'⚡ COMMAND TRACKER'!$AC$5:$AC$204),58),'⚡ COMMAND TRACKER'!$AC$5:$AC$204,0),"")),"")</f>
        <v/>
      </c>
      <c r="F61" s="11" t="str">
        <f aca="false">IFERROR(INDEX('⚡ COMMAND TRACKER'!$Z$5:$Z$204,IFERROR(MATCH(SMALL(IF('⚡ COMMAND TRACKER'!$AC$5:$AC$204&lt;="",9999999,'⚡ COMMAND TRACKER'!$AC$5:$AC$204),58),'⚡ COMMAND TRACKER'!$AC$5:$AC$204,0),"")),"")</f>
        <v/>
      </c>
      <c r="G61" s="11" t="str">
        <f aca="false">IFERROR(INDEX('⚡ COMMAND TRACKER'!$U$5:$U$204,IFERROR(MATCH(SMALL(IF('⚡ COMMAND TRACKER'!$AC$5:$AC$204&lt;="",9999999,'⚡ COMMAND TRACKER'!$AC$5:$AC$204),58),'⚡ COMMAND TRACKER'!$AC$5:$AC$204,0),"")),"")</f>
        <v/>
      </c>
      <c r="H61" s="10" t="str">
        <f aca="false">IFERROR(INDEX('⚡ COMMAND TRACKER'!$X$5:$X$204,IFERROR(MATCH(SMALL(IF('⚡ COMMAND TRACKER'!$AC$5:$AC$204&lt;="",9999999,'⚡ COMMAND TRACKER'!$AC$5:$AC$204),58),'⚡ COMMAND TRACKER'!$AC$5:$AC$204,0),"")),"")</f>
        <v/>
      </c>
      <c r="I61" s="14" t="str">
        <f aca="false">IFERROR(INDEX('⚡ COMMAND TRACKER'!$AB$5:$AB$204,IFERROR(MATCH(SMALL(IF('⚡ COMMAND TRACKER'!$AC$5:$AC$204&lt;="",9999999,'⚡ COMMAND TRACKER'!$AC$5:$AC$204),58),'⚡ COMMAND TRACKER'!$AC$5:$AC$204,0),"")),"")</f>
        <v/>
      </c>
      <c r="J61" s="14" t="str">
        <f aca="false">IFERROR(INDEX('⚡ COMMAND TRACKER'!$AC$5:$AC$204,IFERROR(MATCH(SMALL(IF('⚡ COMMAND TRACKER'!$AC$5:$AC$204&lt;="",9999999,'⚡ COMMAND TRACKER'!$AC$5:$AC$204),58),'⚡ COMMAND TRACKER'!$AC$5:$AC$204,0),"")),"")</f>
        <v/>
      </c>
      <c r="K61" s="16" t="str">
        <f aca="true">IFERROR(IF(J61="","",TODAY()-J61),"")</f>
        <v/>
      </c>
    </row>
    <row r="62" customFormat="false" ht="19.5" hidden="false" customHeight="true" outlineLevel="0" collapsed="false">
      <c r="A62" s="18" t="str">
        <f aca="true">IFERROR(IF(INDEX('⚡ COMMAND TRACKER'!$AC$5:$AC$204,IFERROR(MATCH(SMALL(IF('⚡ COMMAND TRACKER'!$AC$5:$AC$204&lt;="",9999999,'⚡ COMMAND TRACKER'!$AC$5:$AC$204),59),'⚡ COMMAND TRACKER'!$AC$5:$AC$204,0),""))-TODAY()&lt;0,"🚨 OVERDUE",IF(INDEX('⚡ COMMAND TRACKER'!$AC$5:$AC$204,IFERROR(MATCH(SMALL(IF('⚡ COMMAND TRACKER'!$AC$5:$AC$204&lt;="",9999999,'⚡ COMMAND TRACKER'!$AC$5:$AC$204),59),'⚡ COMMAND TRACKER'!$AC$5:$AC$204,0),""))-TODAY()&lt;=1,"🔔 DUE NOW","📋 UPCOMING")),"")</f>
        <v/>
      </c>
      <c r="B62" s="17" t="str">
        <f aca="false">IFERROR(INDEX('⚡ COMMAND TRACKER'!$A$5:$A$204,IFERROR(MATCH(SMALL(IF('⚡ COMMAND TRACKER'!$AC$5:$AC$204&lt;="",9999999,'⚡ COMMAND TRACKER'!$AC$5:$AC$204),59),'⚡ COMMAND TRACKER'!$AC$5:$AC$204,0),"")),"")</f>
        <v/>
      </c>
      <c r="C62" s="17" t="str">
        <f aca="false">IFERROR(INDEX('⚡ COMMAND TRACKER'!$E$5:$E$204,IFERROR(MATCH(SMALL(IF('⚡ COMMAND TRACKER'!$AC$5:$AC$204&lt;="",9999999,'⚡ COMMAND TRACKER'!$AC$5:$AC$204),59),'⚡ COMMAND TRACKER'!$AC$5:$AC$204,0),"")),"")</f>
        <v/>
      </c>
      <c r="D62" s="27" t="str">
        <f aca="false">IFERROR(INDEX('⚡ COMMAND TRACKER'!$B$5:$B$204,IFERROR(MATCH(SMALL(IF('⚡ COMMAND TRACKER'!$AC$5:$AC$204&lt;="",9999999,'⚡ COMMAND TRACKER'!$AC$5:$AC$204),59),'⚡ COMMAND TRACKER'!$AC$5:$AC$204,0),"")),"")</f>
        <v/>
      </c>
      <c r="E62" s="34" t="str">
        <f aca="false">IFERROR(INDEX('⚡ COMMAND TRACKER'!$Y$5:$Y$204,IFERROR(MATCH(SMALL(IF('⚡ COMMAND TRACKER'!$AC$5:$AC$204&lt;="",9999999,'⚡ COMMAND TRACKER'!$AC$5:$AC$204),59),'⚡ COMMAND TRACKER'!$AC$5:$AC$204,0),"")),"")</f>
        <v/>
      </c>
      <c r="F62" s="18" t="str">
        <f aca="false">IFERROR(INDEX('⚡ COMMAND TRACKER'!$Z$5:$Z$204,IFERROR(MATCH(SMALL(IF('⚡ COMMAND TRACKER'!$AC$5:$AC$204&lt;="",9999999,'⚡ COMMAND TRACKER'!$AC$5:$AC$204),59),'⚡ COMMAND TRACKER'!$AC$5:$AC$204,0),"")),"")</f>
        <v/>
      </c>
      <c r="G62" s="18" t="str">
        <f aca="false">IFERROR(INDEX('⚡ COMMAND TRACKER'!$U$5:$U$204,IFERROR(MATCH(SMALL(IF('⚡ COMMAND TRACKER'!$AC$5:$AC$204&lt;="",9999999,'⚡ COMMAND TRACKER'!$AC$5:$AC$204),59),'⚡ COMMAND TRACKER'!$AC$5:$AC$204,0),"")),"")</f>
        <v/>
      </c>
      <c r="H62" s="17" t="str">
        <f aca="false">IFERROR(INDEX('⚡ COMMAND TRACKER'!$X$5:$X$204,IFERROR(MATCH(SMALL(IF('⚡ COMMAND TRACKER'!$AC$5:$AC$204&lt;="",9999999,'⚡ COMMAND TRACKER'!$AC$5:$AC$204),59),'⚡ COMMAND TRACKER'!$AC$5:$AC$204,0),"")),"")</f>
        <v/>
      </c>
      <c r="I62" s="21" t="str">
        <f aca="false">IFERROR(INDEX('⚡ COMMAND TRACKER'!$AB$5:$AB$204,IFERROR(MATCH(SMALL(IF('⚡ COMMAND TRACKER'!$AC$5:$AC$204&lt;="",9999999,'⚡ COMMAND TRACKER'!$AC$5:$AC$204),59),'⚡ COMMAND TRACKER'!$AC$5:$AC$204,0),"")),"")</f>
        <v/>
      </c>
      <c r="J62" s="21" t="str">
        <f aca="false">IFERROR(INDEX('⚡ COMMAND TRACKER'!$AC$5:$AC$204,IFERROR(MATCH(SMALL(IF('⚡ COMMAND TRACKER'!$AC$5:$AC$204&lt;="",9999999,'⚡ COMMAND TRACKER'!$AC$5:$AC$204),59),'⚡ COMMAND TRACKER'!$AC$5:$AC$204,0),"")),"")</f>
        <v/>
      </c>
      <c r="K62" s="23" t="str">
        <f aca="true">IFERROR(IF(J62="","",TODAY()-J62),"")</f>
        <v/>
      </c>
    </row>
    <row r="63" customFormat="false" ht="19.5" hidden="false" customHeight="true" outlineLevel="0" collapsed="false">
      <c r="A63" s="11" t="str">
        <f aca="true">IFERROR(IF(INDEX('⚡ COMMAND TRACKER'!$AC$5:$AC$204,IFERROR(MATCH(SMALL(IF('⚡ COMMAND TRACKER'!$AC$5:$AC$204&lt;="",9999999,'⚡ COMMAND TRACKER'!$AC$5:$AC$204),60),'⚡ COMMAND TRACKER'!$AC$5:$AC$204,0),""))-TODAY()&lt;0,"🚨 OVERDUE",IF(INDEX('⚡ COMMAND TRACKER'!$AC$5:$AC$204,IFERROR(MATCH(SMALL(IF('⚡ COMMAND TRACKER'!$AC$5:$AC$204&lt;="",9999999,'⚡ COMMAND TRACKER'!$AC$5:$AC$204),60),'⚡ COMMAND TRACKER'!$AC$5:$AC$204,0),""))-TODAY()&lt;=1,"🔔 DUE NOW","📋 UPCOMING")),"")</f>
        <v/>
      </c>
      <c r="B63" s="10" t="str">
        <f aca="false">IFERROR(INDEX('⚡ COMMAND TRACKER'!$A$5:$A$204,IFERROR(MATCH(SMALL(IF('⚡ COMMAND TRACKER'!$AC$5:$AC$204&lt;="",9999999,'⚡ COMMAND TRACKER'!$AC$5:$AC$204),60),'⚡ COMMAND TRACKER'!$AC$5:$AC$204,0),"")),"")</f>
        <v/>
      </c>
      <c r="C63" s="10" t="str">
        <f aca="false">IFERROR(INDEX('⚡ COMMAND TRACKER'!$E$5:$E$204,IFERROR(MATCH(SMALL(IF('⚡ COMMAND TRACKER'!$AC$5:$AC$204&lt;="",9999999,'⚡ COMMAND TRACKER'!$AC$5:$AC$204),60),'⚡ COMMAND TRACKER'!$AC$5:$AC$204,0),"")),"")</f>
        <v/>
      </c>
      <c r="D63" s="30" t="str">
        <f aca="false">IFERROR(INDEX('⚡ COMMAND TRACKER'!$B$5:$B$204,IFERROR(MATCH(SMALL(IF('⚡ COMMAND TRACKER'!$AC$5:$AC$204&lt;="",9999999,'⚡ COMMAND TRACKER'!$AC$5:$AC$204),60),'⚡ COMMAND TRACKER'!$AC$5:$AC$204,0),"")),"")</f>
        <v/>
      </c>
      <c r="E63" s="35" t="str">
        <f aca="false">IFERROR(INDEX('⚡ COMMAND TRACKER'!$Y$5:$Y$204,IFERROR(MATCH(SMALL(IF('⚡ COMMAND TRACKER'!$AC$5:$AC$204&lt;="",9999999,'⚡ COMMAND TRACKER'!$AC$5:$AC$204),60),'⚡ COMMAND TRACKER'!$AC$5:$AC$204,0),"")),"")</f>
        <v/>
      </c>
      <c r="F63" s="11" t="str">
        <f aca="false">IFERROR(INDEX('⚡ COMMAND TRACKER'!$Z$5:$Z$204,IFERROR(MATCH(SMALL(IF('⚡ COMMAND TRACKER'!$AC$5:$AC$204&lt;="",9999999,'⚡ COMMAND TRACKER'!$AC$5:$AC$204),60),'⚡ COMMAND TRACKER'!$AC$5:$AC$204,0),"")),"")</f>
        <v/>
      </c>
      <c r="G63" s="11" t="str">
        <f aca="false">IFERROR(INDEX('⚡ COMMAND TRACKER'!$U$5:$U$204,IFERROR(MATCH(SMALL(IF('⚡ COMMAND TRACKER'!$AC$5:$AC$204&lt;="",9999999,'⚡ COMMAND TRACKER'!$AC$5:$AC$204),60),'⚡ COMMAND TRACKER'!$AC$5:$AC$204,0),"")),"")</f>
        <v/>
      </c>
      <c r="H63" s="10" t="str">
        <f aca="false">IFERROR(INDEX('⚡ COMMAND TRACKER'!$X$5:$X$204,IFERROR(MATCH(SMALL(IF('⚡ COMMAND TRACKER'!$AC$5:$AC$204&lt;="",9999999,'⚡ COMMAND TRACKER'!$AC$5:$AC$204),60),'⚡ COMMAND TRACKER'!$AC$5:$AC$204,0),"")),"")</f>
        <v/>
      </c>
      <c r="I63" s="14" t="str">
        <f aca="false">IFERROR(INDEX('⚡ COMMAND TRACKER'!$AB$5:$AB$204,IFERROR(MATCH(SMALL(IF('⚡ COMMAND TRACKER'!$AC$5:$AC$204&lt;="",9999999,'⚡ COMMAND TRACKER'!$AC$5:$AC$204),60),'⚡ COMMAND TRACKER'!$AC$5:$AC$204,0),"")),"")</f>
        <v/>
      </c>
      <c r="J63" s="14" t="str">
        <f aca="false">IFERROR(INDEX('⚡ COMMAND TRACKER'!$AC$5:$AC$204,IFERROR(MATCH(SMALL(IF('⚡ COMMAND TRACKER'!$AC$5:$AC$204&lt;="",9999999,'⚡ COMMAND TRACKER'!$AC$5:$AC$204),60),'⚡ COMMAND TRACKER'!$AC$5:$AC$204,0),"")),"")</f>
        <v/>
      </c>
      <c r="K63" s="16" t="str">
        <f aca="true">IFERROR(IF(J63="","",TODAY()-J63),"")</f>
        <v/>
      </c>
    </row>
    <row r="64" customFormat="false" ht="19.5" hidden="false" customHeight="true" outlineLevel="0" collapsed="false">
      <c r="A64" s="18" t="str">
        <f aca="true">IFERROR(IF(INDEX('⚡ COMMAND TRACKER'!$AC$5:$AC$204,IFERROR(MATCH(SMALL(IF('⚡ COMMAND TRACKER'!$AC$5:$AC$204&lt;="",9999999,'⚡ COMMAND TRACKER'!$AC$5:$AC$204),61),'⚡ COMMAND TRACKER'!$AC$5:$AC$204,0),""))-TODAY()&lt;0,"🚨 OVERDUE",IF(INDEX('⚡ COMMAND TRACKER'!$AC$5:$AC$204,IFERROR(MATCH(SMALL(IF('⚡ COMMAND TRACKER'!$AC$5:$AC$204&lt;="",9999999,'⚡ COMMAND TRACKER'!$AC$5:$AC$204),61),'⚡ COMMAND TRACKER'!$AC$5:$AC$204,0),""))-TODAY()&lt;=1,"🔔 DUE NOW","📋 UPCOMING")),"")</f>
        <v/>
      </c>
      <c r="B64" s="17" t="str">
        <f aca="false">IFERROR(INDEX('⚡ COMMAND TRACKER'!$A$5:$A$204,IFERROR(MATCH(SMALL(IF('⚡ COMMAND TRACKER'!$AC$5:$AC$204&lt;="",9999999,'⚡ COMMAND TRACKER'!$AC$5:$AC$204),61),'⚡ COMMAND TRACKER'!$AC$5:$AC$204,0),"")),"")</f>
        <v/>
      </c>
      <c r="C64" s="17" t="str">
        <f aca="false">IFERROR(INDEX('⚡ COMMAND TRACKER'!$E$5:$E$204,IFERROR(MATCH(SMALL(IF('⚡ COMMAND TRACKER'!$AC$5:$AC$204&lt;="",9999999,'⚡ COMMAND TRACKER'!$AC$5:$AC$204),61),'⚡ COMMAND TRACKER'!$AC$5:$AC$204,0),"")),"")</f>
        <v/>
      </c>
      <c r="D64" s="27" t="str">
        <f aca="false">IFERROR(INDEX('⚡ COMMAND TRACKER'!$B$5:$B$204,IFERROR(MATCH(SMALL(IF('⚡ COMMAND TRACKER'!$AC$5:$AC$204&lt;="",9999999,'⚡ COMMAND TRACKER'!$AC$5:$AC$204),61),'⚡ COMMAND TRACKER'!$AC$5:$AC$204,0),"")),"")</f>
        <v/>
      </c>
      <c r="E64" s="34" t="str">
        <f aca="false">IFERROR(INDEX('⚡ COMMAND TRACKER'!$Y$5:$Y$204,IFERROR(MATCH(SMALL(IF('⚡ COMMAND TRACKER'!$AC$5:$AC$204&lt;="",9999999,'⚡ COMMAND TRACKER'!$AC$5:$AC$204),61),'⚡ COMMAND TRACKER'!$AC$5:$AC$204,0),"")),"")</f>
        <v/>
      </c>
      <c r="F64" s="18" t="str">
        <f aca="false">IFERROR(INDEX('⚡ COMMAND TRACKER'!$Z$5:$Z$204,IFERROR(MATCH(SMALL(IF('⚡ COMMAND TRACKER'!$AC$5:$AC$204&lt;="",9999999,'⚡ COMMAND TRACKER'!$AC$5:$AC$204),61),'⚡ COMMAND TRACKER'!$AC$5:$AC$204,0),"")),"")</f>
        <v/>
      </c>
      <c r="G64" s="18" t="str">
        <f aca="false">IFERROR(INDEX('⚡ COMMAND TRACKER'!$U$5:$U$204,IFERROR(MATCH(SMALL(IF('⚡ COMMAND TRACKER'!$AC$5:$AC$204&lt;="",9999999,'⚡ COMMAND TRACKER'!$AC$5:$AC$204),61),'⚡ COMMAND TRACKER'!$AC$5:$AC$204,0),"")),"")</f>
        <v/>
      </c>
      <c r="H64" s="17" t="str">
        <f aca="false">IFERROR(INDEX('⚡ COMMAND TRACKER'!$X$5:$X$204,IFERROR(MATCH(SMALL(IF('⚡ COMMAND TRACKER'!$AC$5:$AC$204&lt;="",9999999,'⚡ COMMAND TRACKER'!$AC$5:$AC$204),61),'⚡ COMMAND TRACKER'!$AC$5:$AC$204,0),"")),"")</f>
        <v/>
      </c>
      <c r="I64" s="21" t="str">
        <f aca="false">IFERROR(INDEX('⚡ COMMAND TRACKER'!$AB$5:$AB$204,IFERROR(MATCH(SMALL(IF('⚡ COMMAND TRACKER'!$AC$5:$AC$204&lt;="",9999999,'⚡ COMMAND TRACKER'!$AC$5:$AC$204),61),'⚡ COMMAND TRACKER'!$AC$5:$AC$204,0),"")),"")</f>
        <v/>
      </c>
      <c r="J64" s="21" t="str">
        <f aca="false">IFERROR(INDEX('⚡ COMMAND TRACKER'!$AC$5:$AC$204,IFERROR(MATCH(SMALL(IF('⚡ COMMAND TRACKER'!$AC$5:$AC$204&lt;="",9999999,'⚡ COMMAND TRACKER'!$AC$5:$AC$204),61),'⚡ COMMAND TRACKER'!$AC$5:$AC$204,0),"")),"")</f>
        <v/>
      </c>
      <c r="K64" s="23" t="str">
        <f aca="true">IFERROR(IF(J64="","",TODAY()-J64),"")</f>
        <v/>
      </c>
    </row>
    <row r="65" customFormat="false" ht="19.5" hidden="false" customHeight="true" outlineLevel="0" collapsed="false">
      <c r="A65" s="11" t="str">
        <f aca="true">IFERROR(IF(INDEX('⚡ COMMAND TRACKER'!$AC$5:$AC$204,IFERROR(MATCH(SMALL(IF('⚡ COMMAND TRACKER'!$AC$5:$AC$204&lt;="",9999999,'⚡ COMMAND TRACKER'!$AC$5:$AC$204),62),'⚡ COMMAND TRACKER'!$AC$5:$AC$204,0),""))-TODAY()&lt;0,"🚨 OVERDUE",IF(INDEX('⚡ COMMAND TRACKER'!$AC$5:$AC$204,IFERROR(MATCH(SMALL(IF('⚡ COMMAND TRACKER'!$AC$5:$AC$204&lt;="",9999999,'⚡ COMMAND TRACKER'!$AC$5:$AC$204),62),'⚡ COMMAND TRACKER'!$AC$5:$AC$204,0),""))-TODAY()&lt;=1,"🔔 DUE NOW","📋 UPCOMING")),"")</f>
        <v/>
      </c>
      <c r="B65" s="10" t="str">
        <f aca="false">IFERROR(INDEX('⚡ COMMAND TRACKER'!$A$5:$A$204,IFERROR(MATCH(SMALL(IF('⚡ COMMAND TRACKER'!$AC$5:$AC$204&lt;="",9999999,'⚡ COMMAND TRACKER'!$AC$5:$AC$204),62),'⚡ COMMAND TRACKER'!$AC$5:$AC$204,0),"")),"")</f>
        <v/>
      </c>
      <c r="C65" s="10" t="str">
        <f aca="false">IFERROR(INDEX('⚡ COMMAND TRACKER'!$E$5:$E$204,IFERROR(MATCH(SMALL(IF('⚡ COMMAND TRACKER'!$AC$5:$AC$204&lt;="",9999999,'⚡ COMMAND TRACKER'!$AC$5:$AC$204),62),'⚡ COMMAND TRACKER'!$AC$5:$AC$204,0),"")),"")</f>
        <v/>
      </c>
      <c r="D65" s="30" t="str">
        <f aca="false">IFERROR(INDEX('⚡ COMMAND TRACKER'!$B$5:$B$204,IFERROR(MATCH(SMALL(IF('⚡ COMMAND TRACKER'!$AC$5:$AC$204&lt;="",9999999,'⚡ COMMAND TRACKER'!$AC$5:$AC$204),62),'⚡ COMMAND TRACKER'!$AC$5:$AC$204,0),"")),"")</f>
        <v/>
      </c>
      <c r="E65" s="35" t="str">
        <f aca="false">IFERROR(INDEX('⚡ COMMAND TRACKER'!$Y$5:$Y$204,IFERROR(MATCH(SMALL(IF('⚡ COMMAND TRACKER'!$AC$5:$AC$204&lt;="",9999999,'⚡ COMMAND TRACKER'!$AC$5:$AC$204),62),'⚡ COMMAND TRACKER'!$AC$5:$AC$204,0),"")),"")</f>
        <v/>
      </c>
      <c r="F65" s="11" t="str">
        <f aca="false">IFERROR(INDEX('⚡ COMMAND TRACKER'!$Z$5:$Z$204,IFERROR(MATCH(SMALL(IF('⚡ COMMAND TRACKER'!$AC$5:$AC$204&lt;="",9999999,'⚡ COMMAND TRACKER'!$AC$5:$AC$204),62),'⚡ COMMAND TRACKER'!$AC$5:$AC$204,0),"")),"")</f>
        <v/>
      </c>
      <c r="G65" s="11" t="str">
        <f aca="false">IFERROR(INDEX('⚡ COMMAND TRACKER'!$U$5:$U$204,IFERROR(MATCH(SMALL(IF('⚡ COMMAND TRACKER'!$AC$5:$AC$204&lt;="",9999999,'⚡ COMMAND TRACKER'!$AC$5:$AC$204),62),'⚡ COMMAND TRACKER'!$AC$5:$AC$204,0),"")),"")</f>
        <v/>
      </c>
      <c r="H65" s="10" t="str">
        <f aca="false">IFERROR(INDEX('⚡ COMMAND TRACKER'!$X$5:$X$204,IFERROR(MATCH(SMALL(IF('⚡ COMMAND TRACKER'!$AC$5:$AC$204&lt;="",9999999,'⚡ COMMAND TRACKER'!$AC$5:$AC$204),62),'⚡ COMMAND TRACKER'!$AC$5:$AC$204,0),"")),"")</f>
        <v/>
      </c>
      <c r="I65" s="14" t="str">
        <f aca="false">IFERROR(INDEX('⚡ COMMAND TRACKER'!$AB$5:$AB$204,IFERROR(MATCH(SMALL(IF('⚡ COMMAND TRACKER'!$AC$5:$AC$204&lt;="",9999999,'⚡ COMMAND TRACKER'!$AC$5:$AC$204),62),'⚡ COMMAND TRACKER'!$AC$5:$AC$204,0),"")),"")</f>
        <v/>
      </c>
      <c r="J65" s="14" t="str">
        <f aca="false">IFERROR(INDEX('⚡ COMMAND TRACKER'!$AC$5:$AC$204,IFERROR(MATCH(SMALL(IF('⚡ COMMAND TRACKER'!$AC$5:$AC$204&lt;="",9999999,'⚡ COMMAND TRACKER'!$AC$5:$AC$204),62),'⚡ COMMAND TRACKER'!$AC$5:$AC$204,0),"")),"")</f>
        <v/>
      </c>
      <c r="K65" s="16" t="str">
        <f aca="true">IFERROR(IF(J65="","",TODAY()-J65),"")</f>
        <v/>
      </c>
    </row>
    <row r="66" customFormat="false" ht="19.5" hidden="false" customHeight="true" outlineLevel="0" collapsed="false">
      <c r="A66" s="18" t="str">
        <f aca="true">IFERROR(IF(INDEX('⚡ COMMAND TRACKER'!$AC$5:$AC$204,IFERROR(MATCH(SMALL(IF('⚡ COMMAND TRACKER'!$AC$5:$AC$204&lt;="",9999999,'⚡ COMMAND TRACKER'!$AC$5:$AC$204),63),'⚡ COMMAND TRACKER'!$AC$5:$AC$204,0),""))-TODAY()&lt;0,"🚨 OVERDUE",IF(INDEX('⚡ COMMAND TRACKER'!$AC$5:$AC$204,IFERROR(MATCH(SMALL(IF('⚡ COMMAND TRACKER'!$AC$5:$AC$204&lt;="",9999999,'⚡ COMMAND TRACKER'!$AC$5:$AC$204),63),'⚡ COMMAND TRACKER'!$AC$5:$AC$204,0),""))-TODAY()&lt;=1,"🔔 DUE NOW","📋 UPCOMING")),"")</f>
        <v/>
      </c>
      <c r="B66" s="17" t="str">
        <f aca="false">IFERROR(INDEX('⚡ COMMAND TRACKER'!$A$5:$A$204,IFERROR(MATCH(SMALL(IF('⚡ COMMAND TRACKER'!$AC$5:$AC$204&lt;="",9999999,'⚡ COMMAND TRACKER'!$AC$5:$AC$204),63),'⚡ COMMAND TRACKER'!$AC$5:$AC$204,0),"")),"")</f>
        <v/>
      </c>
      <c r="C66" s="17" t="str">
        <f aca="false">IFERROR(INDEX('⚡ COMMAND TRACKER'!$E$5:$E$204,IFERROR(MATCH(SMALL(IF('⚡ COMMAND TRACKER'!$AC$5:$AC$204&lt;="",9999999,'⚡ COMMAND TRACKER'!$AC$5:$AC$204),63),'⚡ COMMAND TRACKER'!$AC$5:$AC$204,0),"")),"")</f>
        <v/>
      </c>
      <c r="D66" s="27" t="str">
        <f aca="false">IFERROR(INDEX('⚡ COMMAND TRACKER'!$B$5:$B$204,IFERROR(MATCH(SMALL(IF('⚡ COMMAND TRACKER'!$AC$5:$AC$204&lt;="",9999999,'⚡ COMMAND TRACKER'!$AC$5:$AC$204),63),'⚡ COMMAND TRACKER'!$AC$5:$AC$204,0),"")),"")</f>
        <v/>
      </c>
      <c r="E66" s="34" t="str">
        <f aca="false">IFERROR(INDEX('⚡ COMMAND TRACKER'!$Y$5:$Y$204,IFERROR(MATCH(SMALL(IF('⚡ COMMAND TRACKER'!$AC$5:$AC$204&lt;="",9999999,'⚡ COMMAND TRACKER'!$AC$5:$AC$204),63),'⚡ COMMAND TRACKER'!$AC$5:$AC$204,0),"")),"")</f>
        <v/>
      </c>
      <c r="F66" s="18" t="str">
        <f aca="false">IFERROR(INDEX('⚡ COMMAND TRACKER'!$Z$5:$Z$204,IFERROR(MATCH(SMALL(IF('⚡ COMMAND TRACKER'!$AC$5:$AC$204&lt;="",9999999,'⚡ COMMAND TRACKER'!$AC$5:$AC$204),63),'⚡ COMMAND TRACKER'!$AC$5:$AC$204,0),"")),"")</f>
        <v/>
      </c>
      <c r="G66" s="18" t="str">
        <f aca="false">IFERROR(INDEX('⚡ COMMAND TRACKER'!$U$5:$U$204,IFERROR(MATCH(SMALL(IF('⚡ COMMAND TRACKER'!$AC$5:$AC$204&lt;="",9999999,'⚡ COMMAND TRACKER'!$AC$5:$AC$204),63),'⚡ COMMAND TRACKER'!$AC$5:$AC$204,0),"")),"")</f>
        <v/>
      </c>
      <c r="H66" s="17" t="str">
        <f aca="false">IFERROR(INDEX('⚡ COMMAND TRACKER'!$X$5:$X$204,IFERROR(MATCH(SMALL(IF('⚡ COMMAND TRACKER'!$AC$5:$AC$204&lt;="",9999999,'⚡ COMMAND TRACKER'!$AC$5:$AC$204),63),'⚡ COMMAND TRACKER'!$AC$5:$AC$204,0),"")),"")</f>
        <v/>
      </c>
      <c r="I66" s="21" t="str">
        <f aca="false">IFERROR(INDEX('⚡ COMMAND TRACKER'!$AB$5:$AB$204,IFERROR(MATCH(SMALL(IF('⚡ COMMAND TRACKER'!$AC$5:$AC$204&lt;="",9999999,'⚡ COMMAND TRACKER'!$AC$5:$AC$204),63),'⚡ COMMAND TRACKER'!$AC$5:$AC$204,0),"")),"")</f>
        <v/>
      </c>
      <c r="J66" s="21" t="str">
        <f aca="false">IFERROR(INDEX('⚡ COMMAND TRACKER'!$AC$5:$AC$204,IFERROR(MATCH(SMALL(IF('⚡ COMMAND TRACKER'!$AC$5:$AC$204&lt;="",9999999,'⚡ COMMAND TRACKER'!$AC$5:$AC$204),63),'⚡ COMMAND TRACKER'!$AC$5:$AC$204,0),"")),"")</f>
        <v/>
      </c>
      <c r="K66" s="23" t="str">
        <f aca="true">IFERROR(IF(J66="","",TODAY()-J66),"")</f>
        <v/>
      </c>
    </row>
    <row r="67" customFormat="false" ht="19.5" hidden="false" customHeight="true" outlineLevel="0" collapsed="false">
      <c r="A67" s="11" t="str">
        <f aca="true">IFERROR(IF(INDEX('⚡ COMMAND TRACKER'!$AC$5:$AC$204,IFERROR(MATCH(SMALL(IF('⚡ COMMAND TRACKER'!$AC$5:$AC$204&lt;="",9999999,'⚡ COMMAND TRACKER'!$AC$5:$AC$204),64),'⚡ COMMAND TRACKER'!$AC$5:$AC$204,0),""))-TODAY()&lt;0,"🚨 OVERDUE",IF(INDEX('⚡ COMMAND TRACKER'!$AC$5:$AC$204,IFERROR(MATCH(SMALL(IF('⚡ COMMAND TRACKER'!$AC$5:$AC$204&lt;="",9999999,'⚡ COMMAND TRACKER'!$AC$5:$AC$204),64),'⚡ COMMAND TRACKER'!$AC$5:$AC$204,0),""))-TODAY()&lt;=1,"🔔 DUE NOW","📋 UPCOMING")),"")</f>
        <v/>
      </c>
      <c r="B67" s="10" t="str">
        <f aca="false">IFERROR(INDEX('⚡ COMMAND TRACKER'!$A$5:$A$204,IFERROR(MATCH(SMALL(IF('⚡ COMMAND TRACKER'!$AC$5:$AC$204&lt;="",9999999,'⚡ COMMAND TRACKER'!$AC$5:$AC$204),64),'⚡ COMMAND TRACKER'!$AC$5:$AC$204,0),"")),"")</f>
        <v/>
      </c>
      <c r="C67" s="10" t="str">
        <f aca="false">IFERROR(INDEX('⚡ COMMAND TRACKER'!$E$5:$E$204,IFERROR(MATCH(SMALL(IF('⚡ COMMAND TRACKER'!$AC$5:$AC$204&lt;="",9999999,'⚡ COMMAND TRACKER'!$AC$5:$AC$204),64),'⚡ COMMAND TRACKER'!$AC$5:$AC$204,0),"")),"")</f>
        <v/>
      </c>
      <c r="D67" s="30" t="str">
        <f aca="false">IFERROR(INDEX('⚡ COMMAND TRACKER'!$B$5:$B$204,IFERROR(MATCH(SMALL(IF('⚡ COMMAND TRACKER'!$AC$5:$AC$204&lt;="",9999999,'⚡ COMMAND TRACKER'!$AC$5:$AC$204),64),'⚡ COMMAND TRACKER'!$AC$5:$AC$204,0),"")),"")</f>
        <v/>
      </c>
      <c r="E67" s="35" t="str">
        <f aca="false">IFERROR(INDEX('⚡ COMMAND TRACKER'!$Y$5:$Y$204,IFERROR(MATCH(SMALL(IF('⚡ COMMAND TRACKER'!$AC$5:$AC$204&lt;="",9999999,'⚡ COMMAND TRACKER'!$AC$5:$AC$204),64),'⚡ COMMAND TRACKER'!$AC$5:$AC$204,0),"")),"")</f>
        <v/>
      </c>
      <c r="F67" s="11" t="str">
        <f aca="false">IFERROR(INDEX('⚡ COMMAND TRACKER'!$Z$5:$Z$204,IFERROR(MATCH(SMALL(IF('⚡ COMMAND TRACKER'!$AC$5:$AC$204&lt;="",9999999,'⚡ COMMAND TRACKER'!$AC$5:$AC$204),64),'⚡ COMMAND TRACKER'!$AC$5:$AC$204,0),"")),"")</f>
        <v/>
      </c>
      <c r="G67" s="11" t="str">
        <f aca="false">IFERROR(INDEX('⚡ COMMAND TRACKER'!$U$5:$U$204,IFERROR(MATCH(SMALL(IF('⚡ COMMAND TRACKER'!$AC$5:$AC$204&lt;="",9999999,'⚡ COMMAND TRACKER'!$AC$5:$AC$204),64),'⚡ COMMAND TRACKER'!$AC$5:$AC$204,0),"")),"")</f>
        <v/>
      </c>
      <c r="H67" s="10" t="str">
        <f aca="false">IFERROR(INDEX('⚡ COMMAND TRACKER'!$X$5:$X$204,IFERROR(MATCH(SMALL(IF('⚡ COMMAND TRACKER'!$AC$5:$AC$204&lt;="",9999999,'⚡ COMMAND TRACKER'!$AC$5:$AC$204),64),'⚡ COMMAND TRACKER'!$AC$5:$AC$204,0),"")),"")</f>
        <v/>
      </c>
      <c r="I67" s="14" t="str">
        <f aca="false">IFERROR(INDEX('⚡ COMMAND TRACKER'!$AB$5:$AB$204,IFERROR(MATCH(SMALL(IF('⚡ COMMAND TRACKER'!$AC$5:$AC$204&lt;="",9999999,'⚡ COMMAND TRACKER'!$AC$5:$AC$204),64),'⚡ COMMAND TRACKER'!$AC$5:$AC$204,0),"")),"")</f>
        <v/>
      </c>
      <c r="J67" s="14" t="str">
        <f aca="false">IFERROR(INDEX('⚡ COMMAND TRACKER'!$AC$5:$AC$204,IFERROR(MATCH(SMALL(IF('⚡ COMMAND TRACKER'!$AC$5:$AC$204&lt;="",9999999,'⚡ COMMAND TRACKER'!$AC$5:$AC$204),64),'⚡ COMMAND TRACKER'!$AC$5:$AC$204,0),"")),"")</f>
        <v/>
      </c>
      <c r="K67" s="16" t="str">
        <f aca="true">IFERROR(IF(J67="","",TODAY()-J67),"")</f>
        <v/>
      </c>
    </row>
    <row r="68" customFormat="false" ht="19.5" hidden="false" customHeight="true" outlineLevel="0" collapsed="false">
      <c r="A68" s="18" t="str">
        <f aca="true">IFERROR(IF(INDEX('⚡ COMMAND TRACKER'!$AC$5:$AC$204,IFERROR(MATCH(SMALL(IF('⚡ COMMAND TRACKER'!$AC$5:$AC$204&lt;="",9999999,'⚡ COMMAND TRACKER'!$AC$5:$AC$204),65),'⚡ COMMAND TRACKER'!$AC$5:$AC$204,0),""))-TODAY()&lt;0,"🚨 OVERDUE",IF(INDEX('⚡ COMMAND TRACKER'!$AC$5:$AC$204,IFERROR(MATCH(SMALL(IF('⚡ COMMAND TRACKER'!$AC$5:$AC$204&lt;="",9999999,'⚡ COMMAND TRACKER'!$AC$5:$AC$204),65),'⚡ COMMAND TRACKER'!$AC$5:$AC$204,0),""))-TODAY()&lt;=1,"🔔 DUE NOW","📋 UPCOMING")),"")</f>
        <v/>
      </c>
      <c r="B68" s="17" t="str">
        <f aca="false">IFERROR(INDEX('⚡ COMMAND TRACKER'!$A$5:$A$204,IFERROR(MATCH(SMALL(IF('⚡ COMMAND TRACKER'!$AC$5:$AC$204&lt;="",9999999,'⚡ COMMAND TRACKER'!$AC$5:$AC$204),65),'⚡ COMMAND TRACKER'!$AC$5:$AC$204,0),"")),"")</f>
        <v/>
      </c>
      <c r="C68" s="17" t="str">
        <f aca="false">IFERROR(INDEX('⚡ COMMAND TRACKER'!$E$5:$E$204,IFERROR(MATCH(SMALL(IF('⚡ COMMAND TRACKER'!$AC$5:$AC$204&lt;="",9999999,'⚡ COMMAND TRACKER'!$AC$5:$AC$204),65),'⚡ COMMAND TRACKER'!$AC$5:$AC$204,0),"")),"")</f>
        <v/>
      </c>
      <c r="D68" s="27" t="str">
        <f aca="false">IFERROR(INDEX('⚡ COMMAND TRACKER'!$B$5:$B$204,IFERROR(MATCH(SMALL(IF('⚡ COMMAND TRACKER'!$AC$5:$AC$204&lt;="",9999999,'⚡ COMMAND TRACKER'!$AC$5:$AC$204),65),'⚡ COMMAND TRACKER'!$AC$5:$AC$204,0),"")),"")</f>
        <v/>
      </c>
      <c r="E68" s="34" t="str">
        <f aca="false">IFERROR(INDEX('⚡ COMMAND TRACKER'!$Y$5:$Y$204,IFERROR(MATCH(SMALL(IF('⚡ COMMAND TRACKER'!$AC$5:$AC$204&lt;="",9999999,'⚡ COMMAND TRACKER'!$AC$5:$AC$204),65),'⚡ COMMAND TRACKER'!$AC$5:$AC$204,0),"")),"")</f>
        <v/>
      </c>
      <c r="F68" s="18" t="str">
        <f aca="false">IFERROR(INDEX('⚡ COMMAND TRACKER'!$Z$5:$Z$204,IFERROR(MATCH(SMALL(IF('⚡ COMMAND TRACKER'!$AC$5:$AC$204&lt;="",9999999,'⚡ COMMAND TRACKER'!$AC$5:$AC$204),65),'⚡ COMMAND TRACKER'!$AC$5:$AC$204,0),"")),"")</f>
        <v/>
      </c>
      <c r="G68" s="18" t="str">
        <f aca="false">IFERROR(INDEX('⚡ COMMAND TRACKER'!$U$5:$U$204,IFERROR(MATCH(SMALL(IF('⚡ COMMAND TRACKER'!$AC$5:$AC$204&lt;="",9999999,'⚡ COMMAND TRACKER'!$AC$5:$AC$204),65),'⚡ COMMAND TRACKER'!$AC$5:$AC$204,0),"")),"")</f>
        <v/>
      </c>
      <c r="H68" s="17" t="str">
        <f aca="false">IFERROR(INDEX('⚡ COMMAND TRACKER'!$X$5:$X$204,IFERROR(MATCH(SMALL(IF('⚡ COMMAND TRACKER'!$AC$5:$AC$204&lt;="",9999999,'⚡ COMMAND TRACKER'!$AC$5:$AC$204),65),'⚡ COMMAND TRACKER'!$AC$5:$AC$204,0),"")),"")</f>
        <v/>
      </c>
      <c r="I68" s="21" t="str">
        <f aca="false">IFERROR(INDEX('⚡ COMMAND TRACKER'!$AB$5:$AB$204,IFERROR(MATCH(SMALL(IF('⚡ COMMAND TRACKER'!$AC$5:$AC$204&lt;="",9999999,'⚡ COMMAND TRACKER'!$AC$5:$AC$204),65),'⚡ COMMAND TRACKER'!$AC$5:$AC$204,0),"")),"")</f>
        <v/>
      </c>
      <c r="J68" s="21" t="str">
        <f aca="false">IFERROR(INDEX('⚡ COMMAND TRACKER'!$AC$5:$AC$204,IFERROR(MATCH(SMALL(IF('⚡ COMMAND TRACKER'!$AC$5:$AC$204&lt;="",9999999,'⚡ COMMAND TRACKER'!$AC$5:$AC$204),65),'⚡ COMMAND TRACKER'!$AC$5:$AC$204,0),"")),"")</f>
        <v/>
      </c>
      <c r="K68" s="23" t="str">
        <f aca="true">IFERROR(IF(J68="","",TODAY()-J68),"")</f>
        <v/>
      </c>
    </row>
    <row r="69" customFormat="false" ht="19.5" hidden="false" customHeight="true" outlineLevel="0" collapsed="false">
      <c r="A69" s="11" t="str">
        <f aca="true">IFERROR(IF(INDEX('⚡ COMMAND TRACKER'!$AC$5:$AC$204,IFERROR(MATCH(SMALL(IF('⚡ COMMAND TRACKER'!$AC$5:$AC$204&lt;="",9999999,'⚡ COMMAND TRACKER'!$AC$5:$AC$204),66),'⚡ COMMAND TRACKER'!$AC$5:$AC$204,0),""))-TODAY()&lt;0,"🚨 OVERDUE",IF(INDEX('⚡ COMMAND TRACKER'!$AC$5:$AC$204,IFERROR(MATCH(SMALL(IF('⚡ COMMAND TRACKER'!$AC$5:$AC$204&lt;="",9999999,'⚡ COMMAND TRACKER'!$AC$5:$AC$204),66),'⚡ COMMAND TRACKER'!$AC$5:$AC$204,0),""))-TODAY()&lt;=1,"🔔 DUE NOW","📋 UPCOMING")),"")</f>
        <v/>
      </c>
      <c r="B69" s="10" t="str">
        <f aca="false">IFERROR(INDEX('⚡ COMMAND TRACKER'!$A$5:$A$204,IFERROR(MATCH(SMALL(IF('⚡ COMMAND TRACKER'!$AC$5:$AC$204&lt;="",9999999,'⚡ COMMAND TRACKER'!$AC$5:$AC$204),66),'⚡ COMMAND TRACKER'!$AC$5:$AC$204,0),"")),"")</f>
        <v/>
      </c>
      <c r="C69" s="10" t="str">
        <f aca="false">IFERROR(INDEX('⚡ COMMAND TRACKER'!$E$5:$E$204,IFERROR(MATCH(SMALL(IF('⚡ COMMAND TRACKER'!$AC$5:$AC$204&lt;="",9999999,'⚡ COMMAND TRACKER'!$AC$5:$AC$204),66),'⚡ COMMAND TRACKER'!$AC$5:$AC$204,0),"")),"")</f>
        <v/>
      </c>
      <c r="D69" s="30" t="str">
        <f aca="false">IFERROR(INDEX('⚡ COMMAND TRACKER'!$B$5:$B$204,IFERROR(MATCH(SMALL(IF('⚡ COMMAND TRACKER'!$AC$5:$AC$204&lt;="",9999999,'⚡ COMMAND TRACKER'!$AC$5:$AC$204),66),'⚡ COMMAND TRACKER'!$AC$5:$AC$204,0),"")),"")</f>
        <v/>
      </c>
      <c r="E69" s="35" t="str">
        <f aca="false">IFERROR(INDEX('⚡ COMMAND TRACKER'!$Y$5:$Y$204,IFERROR(MATCH(SMALL(IF('⚡ COMMAND TRACKER'!$AC$5:$AC$204&lt;="",9999999,'⚡ COMMAND TRACKER'!$AC$5:$AC$204),66),'⚡ COMMAND TRACKER'!$AC$5:$AC$204,0),"")),"")</f>
        <v/>
      </c>
      <c r="F69" s="11" t="str">
        <f aca="false">IFERROR(INDEX('⚡ COMMAND TRACKER'!$Z$5:$Z$204,IFERROR(MATCH(SMALL(IF('⚡ COMMAND TRACKER'!$AC$5:$AC$204&lt;="",9999999,'⚡ COMMAND TRACKER'!$AC$5:$AC$204),66),'⚡ COMMAND TRACKER'!$AC$5:$AC$204,0),"")),"")</f>
        <v/>
      </c>
      <c r="G69" s="11" t="str">
        <f aca="false">IFERROR(INDEX('⚡ COMMAND TRACKER'!$U$5:$U$204,IFERROR(MATCH(SMALL(IF('⚡ COMMAND TRACKER'!$AC$5:$AC$204&lt;="",9999999,'⚡ COMMAND TRACKER'!$AC$5:$AC$204),66),'⚡ COMMAND TRACKER'!$AC$5:$AC$204,0),"")),"")</f>
        <v/>
      </c>
      <c r="H69" s="10" t="str">
        <f aca="false">IFERROR(INDEX('⚡ COMMAND TRACKER'!$X$5:$X$204,IFERROR(MATCH(SMALL(IF('⚡ COMMAND TRACKER'!$AC$5:$AC$204&lt;="",9999999,'⚡ COMMAND TRACKER'!$AC$5:$AC$204),66),'⚡ COMMAND TRACKER'!$AC$5:$AC$204,0),"")),"")</f>
        <v/>
      </c>
      <c r="I69" s="14" t="str">
        <f aca="false">IFERROR(INDEX('⚡ COMMAND TRACKER'!$AB$5:$AB$204,IFERROR(MATCH(SMALL(IF('⚡ COMMAND TRACKER'!$AC$5:$AC$204&lt;="",9999999,'⚡ COMMAND TRACKER'!$AC$5:$AC$204),66),'⚡ COMMAND TRACKER'!$AC$5:$AC$204,0),"")),"")</f>
        <v/>
      </c>
      <c r="J69" s="14" t="str">
        <f aca="false">IFERROR(INDEX('⚡ COMMAND TRACKER'!$AC$5:$AC$204,IFERROR(MATCH(SMALL(IF('⚡ COMMAND TRACKER'!$AC$5:$AC$204&lt;="",9999999,'⚡ COMMAND TRACKER'!$AC$5:$AC$204),66),'⚡ COMMAND TRACKER'!$AC$5:$AC$204,0),"")),"")</f>
        <v/>
      </c>
      <c r="K69" s="16" t="str">
        <f aca="true">IFERROR(IF(J69="","",TODAY()-J69),"")</f>
        <v/>
      </c>
    </row>
    <row r="70" customFormat="false" ht="19.5" hidden="false" customHeight="true" outlineLevel="0" collapsed="false">
      <c r="A70" s="18" t="str">
        <f aca="true">IFERROR(IF(INDEX('⚡ COMMAND TRACKER'!$AC$5:$AC$204,IFERROR(MATCH(SMALL(IF('⚡ COMMAND TRACKER'!$AC$5:$AC$204&lt;="",9999999,'⚡ COMMAND TRACKER'!$AC$5:$AC$204),67),'⚡ COMMAND TRACKER'!$AC$5:$AC$204,0),""))-TODAY()&lt;0,"🚨 OVERDUE",IF(INDEX('⚡ COMMAND TRACKER'!$AC$5:$AC$204,IFERROR(MATCH(SMALL(IF('⚡ COMMAND TRACKER'!$AC$5:$AC$204&lt;="",9999999,'⚡ COMMAND TRACKER'!$AC$5:$AC$204),67),'⚡ COMMAND TRACKER'!$AC$5:$AC$204,0),""))-TODAY()&lt;=1,"🔔 DUE NOW","📋 UPCOMING")),"")</f>
        <v/>
      </c>
      <c r="B70" s="17" t="str">
        <f aca="false">IFERROR(INDEX('⚡ COMMAND TRACKER'!$A$5:$A$204,IFERROR(MATCH(SMALL(IF('⚡ COMMAND TRACKER'!$AC$5:$AC$204&lt;="",9999999,'⚡ COMMAND TRACKER'!$AC$5:$AC$204),67),'⚡ COMMAND TRACKER'!$AC$5:$AC$204,0),"")),"")</f>
        <v/>
      </c>
      <c r="C70" s="17" t="str">
        <f aca="false">IFERROR(INDEX('⚡ COMMAND TRACKER'!$E$5:$E$204,IFERROR(MATCH(SMALL(IF('⚡ COMMAND TRACKER'!$AC$5:$AC$204&lt;="",9999999,'⚡ COMMAND TRACKER'!$AC$5:$AC$204),67),'⚡ COMMAND TRACKER'!$AC$5:$AC$204,0),"")),"")</f>
        <v/>
      </c>
      <c r="D70" s="27" t="str">
        <f aca="false">IFERROR(INDEX('⚡ COMMAND TRACKER'!$B$5:$B$204,IFERROR(MATCH(SMALL(IF('⚡ COMMAND TRACKER'!$AC$5:$AC$204&lt;="",9999999,'⚡ COMMAND TRACKER'!$AC$5:$AC$204),67),'⚡ COMMAND TRACKER'!$AC$5:$AC$204,0),"")),"")</f>
        <v/>
      </c>
      <c r="E70" s="34" t="str">
        <f aca="false">IFERROR(INDEX('⚡ COMMAND TRACKER'!$Y$5:$Y$204,IFERROR(MATCH(SMALL(IF('⚡ COMMAND TRACKER'!$AC$5:$AC$204&lt;="",9999999,'⚡ COMMAND TRACKER'!$AC$5:$AC$204),67),'⚡ COMMAND TRACKER'!$AC$5:$AC$204,0),"")),"")</f>
        <v/>
      </c>
      <c r="F70" s="18" t="str">
        <f aca="false">IFERROR(INDEX('⚡ COMMAND TRACKER'!$Z$5:$Z$204,IFERROR(MATCH(SMALL(IF('⚡ COMMAND TRACKER'!$AC$5:$AC$204&lt;="",9999999,'⚡ COMMAND TRACKER'!$AC$5:$AC$204),67),'⚡ COMMAND TRACKER'!$AC$5:$AC$204,0),"")),"")</f>
        <v/>
      </c>
      <c r="G70" s="18" t="str">
        <f aca="false">IFERROR(INDEX('⚡ COMMAND TRACKER'!$U$5:$U$204,IFERROR(MATCH(SMALL(IF('⚡ COMMAND TRACKER'!$AC$5:$AC$204&lt;="",9999999,'⚡ COMMAND TRACKER'!$AC$5:$AC$204),67),'⚡ COMMAND TRACKER'!$AC$5:$AC$204,0),"")),"")</f>
        <v/>
      </c>
      <c r="H70" s="17" t="str">
        <f aca="false">IFERROR(INDEX('⚡ COMMAND TRACKER'!$X$5:$X$204,IFERROR(MATCH(SMALL(IF('⚡ COMMAND TRACKER'!$AC$5:$AC$204&lt;="",9999999,'⚡ COMMAND TRACKER'!$AC$5:$AC$204),67),'⚡ COMMAND TRACKER'!$AC$5:$AC$204,0),"")),"")</f>
        <v/>
      </c>
      <c r="I70" s="21" t="str">
        <f aca="false">IFERROR(INDEX('⚡ COMMAND TRACKER'!$AB$5:$AB$204,IFERROR(MATCH(SMALL(IF('⚡ COMMAND TRACKER'!$AC$5:$AC$204&lt;="",9999999,'⚡ COMMAND TRACKER'!$AC$5:$AC$204),67),'⚡ COMMAND TRACKER'!$AC$5:$AC$204,0),"")),"")</f>
        <v/>
      </c>
      <c r="J70" s="21" t="str">
        <f aca="false">IFERROR(INDEX('⚡ COMMAND TRACKER'!$AC$5:$AC$204,IFERROR(MATCH(SMALL(IF('⚡ COMMAND TRACKER'!$AC$5:$AC$204&lt;="",9999999,'⚡ COMMAND TRACKER'!$AC$5:$AC$204),67),'⚡ COMMAND TRACKER'!$AC$5:$AC$204,0),"")),"")</f>
        <v/>
      </c>
      <c r="K70" s="23" t="str">
        <f aca="true">IFERROR(IF(J70="","",TODAY()-J70),"")</f>
        <v/>
      </c>
    </row>
    <row r="71" customFormat="false" ht="19.5" hidden="false" customHeight="true" outlineLevel="0" collapsed="false">
      <c r="A71" s="11" t="str">
        <f aca="true">IFERROR(IF(INDEX('⚡ COMMAND TRACKER'!$AC$5:$AC$204,IFERROR(MATCH(SMALL(IF('⚡ COMMAND TRACKER'!$AC$5:$AC$204&lt;="",9999999,'⚡ COMMAND TRACKER'!$AC$5:$AC$204),68),'⚡ COMMAND TRACKER'!$AC$5:$AC$204,0),""))-TODAY()&lt;0,"🚨 OVERDUE",IF(INDEX('⚡ COMMAND TRACKER'!$AC$5:$AC$204,IFERROR(MATCH(SMALL(IF('⚡ COMMAND TRACKER'!$AC$5:$AC$204&lt;="",9999999,'⚡ COMMAND TRACKER'!$AC$5:$AC$204),68),'⚡ COMMAND TRACKER'!$AC$5:$AC$204,0),""))-TODAY()&lt;=1,"🔔 DUE NOW","📋 UPCOMING")),"")</f>
        <v/>
      </c>
      <c r="B71" s="10" t="str">
        <f aca="false">IFERROR(INDEX('⚡ COMMAND TRACKER'!$A$5:$A$204,IFERROR(MATCH(SMALL(IF('⚡ COMMAND TRACKER'!$AC$5:$AC$204&lt;="",9999999,'⚡ COMMAND TRACKER'!$AC$5:$AC$204),68),'⚡ COMMAND TRACKER'!$AC$5:$AC$204,0),"")),"")</f>
        <v/>
      </c>
      <c r="C71" s="10" t="str">
        <f aca="false">IFERROR(INDEX('⚡ COMMAND TRACKER'!$E$5:$E$204,IFERROR(MATCH(SMALL(IF('⚡ COMMAND TRACKER'!$AC$5:$AC$204&lt;="",9999999,'⚡ COMMAND TRACKER'!$AC$5:$AC$204),68),'⚡ COMMAND TRACKER'!$AC$5:$AC$204,0),"")),"")</f>
        <v/>
      </c>
      <c r="D71" s="30" t="str">
        <f aca="false">IFERROR(INDEX('⚡ COMMAND TRACKER'!$B$5:$B$204,IFERROR(MATCH(SMALL(IF('⚡ COMMAND TRACKER'!$AC$5:$AC$204&lt;="",9999999,'⚡ COMMAND TRACKER'!$AC$5:$AC$204),68),'⚡ COMMAND TRACKER'!$AC$5:$AC$204,0),"")),"")</f>
        <v/>
      </c>
      <c r="E71" s="35" t="str">
        <f aca="false">IFERROR(INDEX('⚡ COMMAND TRACKER'!$Y$5:$Y$204,IFERROR(MATCH(SMALL(IF('⚡ COMMAND TRACKER'!$AC$5:$AC$204&lt;="",9999999,'⚡ COMMAND TRACKER'!$AC$5:$AC$204),68),'⚡ COMMAND TRACKER'!$AC$5:$AC$204,0),"")),"")</f>
        <v/>
      </c>
      <c r="F71" s="11" t="str">
        <f aca="false">IFERROR(INDEX('⚡ COMMAND TRACKER'!$Z$5:$Z$204,IFERROR(MATCH(SMALL(IF('⚡ COMMAND TRACKER'!$AC$5:$AC$204&lt;="",9999999,'⚡ COMMAND TRACKER'!$AC$5:$AC$204),68),'⚡ COMMAND TRACKER'!$AC$5:$AC$204,0),"")),"")</f>
        <v/>
      </c>
      <c r="G71" s="11" t="str">
        <f aca="false">IFERROR(INDEX('⚡ COMMAND TRACKER'!$U$5:$U$204,IFERROR(MATCH(SMALL(IF('⚡ COMMAND TRACKER'!$AC$5:$AC$204&lt;="",9999999,'⚡ COMMAND TRACKER'!$AC$5:$AC$204),68),'⚡ COMMAND TRACKER'!$AC$5:$AC$204,0),"")),"")</f>
        <v/>
      </c>
      <c r="H71" s="10" t="str">
        <f aca="false">IFERROR(INDEX('⚡ COMMAND TRACKER'!$X$5:$X$204,IFERROR(MATCH(SMALL(IF('⚡ COMMAND TRACKER'!$AC$5:$AC$204&lt;="",9999999,'⚡ COMMAND TRACKER'!$AC$5:$AC$204),68),'⚡ COMMAND TRACKER'!$AC$5:$AC$204,0),"")),"")</f>
        <v/>
      </c>
      <c r="I71" s="14" t="str">
        <f aca="false">IFERROR(INDEX('⚡ COMMAND TRACKER'!$AB$5:$AB$204,IFERROR(MATCH(SMALL(IF('⚡ COMMAND TRACKER'!$AC$5:$AC$204&lt;="",9999999,'⚡ COMMAND TRACKER'!$AC$5:$AC$204),68),'⚡ COMMAND TRACKER'!$AC$5:$AC$204,0),"")),"")</f>
        <v/>
      </c>
      <c r="J71" s="14" t="str">
        <f aca="false">IFERROR(INDEX('⚡ COMMAND TRACKER'!$AC$5:$AC$204,IFERROR(MATCH(SMALL(IF('⚡ COMMAND TRACKER'!$AC$5:$AC$204&lt;="",9999999,'⚡ COMMAND TRACKER'!$AC$5:$AC$204),68),'⚡ COMMAND TRACKER'!$AC$5:$AC$204,0),"")),"")</f>
        <v/>
      </c>
      <c r="K71" s="16" t="str">
        <f aca="true">IFERROR(IF(J71="","",TODAY()-J71),"")</f>
        <v/>
      </c>
    </row>
    <row r="72" customFormat="false" ht="19.5" hidden="false" customHeight="true" outlineLevel="0" collapsed="false">
      <c r="A72" s="18" t="str">
        <f aca="true">IFERROR(IF(INDEX('⚡ COMMAND TRACKER'!$AC$5:$AC$204,IFERROR(MATCH(SMALL(IF('⚡ COMMAND TRACKER'!$AC$5:$AC$204&lt;="",9999999,'⚡ COMMAND TRACKER'!$AC$5:$AC$204),69),'⚡ COMMAND TRACKER'!$AC$5:$AC$204,0),""))-TODAY()&lt;0,"🚨 OVERDUE",IF(INDEX('⚡ COMMAND TRACKER'!$AC$5:$AC$204,IFERROR(MATCH(SMALL(IF('⚡ COMMAND TRACKER'!$AC$5:$AC$204&lt;="",9999999,'⚡ COMMAND TRACKER'!$AC$5:$AC$204),69),'⚡ COMMAND TRACKER'!$AC$5:$AC$204,0),""))-TODAY()&lt;=1,"🔔 DUE NOW","📋 UPCOMING")),"")</f>
        <v/>
      </c>
      <c r="B72" s="17" t="str">
        <f aca="false">IFERROR(INDEX('⚡ COMMAND TRACKER'!$A$5:$A$204,IFERROR(MATCH(SMALL(IF('⚡ COMMAND TRACKER'!$AC$5:$AC$204&lt;="",9999999,'⚡ COMMAND TRACKER'!$AC$5:$AC$204),69),'⚡ COMMAND TRACKER'!$AC$5:$AC$204,0),"")),"")</f>
        <v/>
      </c>
      <c r="C72" s="17" t="str">
        <f aca="false">IFERROR(INDEX('⚡ COMMAND TRACKER'!$E$5:$E$204,IFERROR(MATCH(SMALL(IF('⚡ COMMAND TRACKER'!$AC$5:$AC$204&lt;="",9999999,'⚡ COMMAND TRACKER'!$AC$5:$AC$204),69),'⚡ COMMAND TRACKER'!$AC$5:$AC$204,0),"")),"")</f>
        <v/>
      </c>
      <c r="D72" s="27" t="str">
        <f aca="false">IFERROR(INDEX('⚡ COMMAND TRACKER'!$B$5:$B$204,IFERROR(MATCH(SMALL(IF('⚡ COMMAND TRACKER'!$AC$5:$AC$204&lt;="",9999999,'⚡ COMMAND TRACKER'!$AC$5:$AC$204),69),'⚡ COMMAND TRACKER'!$AC$5:$AC$204,0),"")),"")</f>
        <v/>
      </c>
      <c r="E72" s="34" t="str">
        <f aca="false">IFERROR(INDEX('⚡ COMMAND TRACKER'!$Y$5:$Y$204,IFERROR(MATCH(SMALL(IF('⚡ COMMAND TRACKER'!$AC$5:$AC$204&lt;="",9999999,'⚡ COMMAND TRACKER'!$AC$5:$AC$204),69),'⚡ COMMAND TRACKER'!$AC$5:$AC$204,0),"")),"")</f>
        <v/>
      </c>
      <c r="F72" s="18" t="str">
        <f aca="false">IFERROR(INDEX('⚡ COMMAND TRACKER'!$Z$5:$Z$204,IFERROR(MATCH(SMALL(IF('⚡ COMMAND TRACKER'!$AC$5:$AC$204&lt;="",9999999,'⚡ COMMAND TRACKER'!$AC$5:$AC$204),69),'⚡ COMMAND TRACKER'!$AC$5:$AC$204,0),"")),"")</f>
        <v/>
      </c>
      <c r="G72" s="18" t="str">
        <f aca="false">IFERROR(INDEX('⚡ COMMAND TRACKER'!$U$5:$U$204,IFERROR(MATCH(SMALL(IF('⚡ COMMAND TRACKER'!$AC$5:$AC$204&lt;="",9999999,'⚡ COMMAND TRACKER'!$AC$5:$AC$204),69),'⚡ COMMAND TRACKER'!$AC$5:$AC$204,0),"")),"")</f>
        <v/>
      </c>
      <c r="H72" s="17" t="str">
        <f aca="false">IFERROR(INDEX('⚡ COMMAND TRACKER'!$X$5:$X$204,IFERROR(MATCH(SMALL(IF('⚡ COMMAND TRACKER'!$AC$5:$AC$204&lt;="",9999999,'⚡ COMMAND TRACKER'!$AC$5:$AC$204),69),'⚡ COMMAND TRACKER'!$AC$5:$AC$204,0),"")),"")</f>
        <v/>
      </c>
      <c r="I72" s="21" t="str">
        <f aca="false">IFERROR(INDEX('⚡ COMMAND TRACKER'!$AB$5:$AB$204,IFERROR(MATCH(SMALL(IF('⚡ COMMAND TRACKER'!$AC$5:$AC$204&lt;="",9999999,'⚡ COMMAND TRACKER'!$AC$5:$AC$204),69),'⚡ COMMAND TRACKER'!$AC$5:$AC$204,0),"")),"")</f>
        <v/>
      </c>
      <c r="J72" s="21" t="str">
        <f aca="false">IFERROR(INDEX('⚡ COMMAND TRACKER'!$AC$5:$AC$204,IFERROR(MATCH(SMALL(IF('⚡ COMMAND TRACKER'!$AC$5:$AC$204&lt;="",9999999,'⚡ COMMAND TRACKER'!$AC$5:$AC$204),69),'⚡ COMMAND TRACKER'!$AC$5:$AC$204,0),"")),"")</f>
        <v/>
      </c>
      <c r="K72" s="23" t="str">
        <f aca="true">IFERROR(IF(J72="","",TODAY()-J72),"")</f>
        <v/>
      </c>
    </row>
    <row r="73" customFormat="false" ht="19.5" hidden="false" customHeight="true" outlineLevel="0" collapsed="false">
      <c r="A73" s="11" t="str">
        <f aca="true">IFERROR(IF(INDEX('⚡ COMMAND TRACKER'!$AC$5:$AC$204,IFERROR(MATCH(SMALL(IF('⚡ COMMAND TRACKER'!$AC$5:$AC$204&lt;="",9999999,'⚡ COMMAND TRACKER'!$AC$5:$AC$204),70),'⚡ COMMAND TRACKER'!$AC$5:$AC$204,0),""))-TODAY()&lt;0,"🚨 OVERDUE",IF(INDEX('⚡ COMMAND TRACKER'!$AC$5:$AC$204,IFERROR(MATCH(SMALL(IF('⚡ COMMAND TRACKER'!$AC$5:$AC$204&lt;="",9999999,'⚡ COMMAND TRACKER'!$AC$5:$AC$204),70),'⚡ COMMAND TRACKER'!$AC$5:$AC$204,0),""))-TODAY()&lt;=1,"🔔 DUE NOW","📋 UPCOMING")),"")</f>
        <v/>
      </c>
      <c r="B73" s="10" t="str">
        <f aca="false">IFERROR(INDEX('⚡ COMMAND TRACKER'!$A$5:$A$204,IFERROR(MATCH(SMALL(IF('⚡ COMMAND TRACKER'!$AC$5:$AC$204&lt;="",9999999,'⚡ COMMAND TRACKER'!$AC$5:$AC$204),70),'⚡ COMMAND TRACKER'!$AC$5:$AC$204,0),"")),"")</f>
        <v/>
      </c>
      <c r="C73" s="10" t="str">
        <f aca="false">IFERROR(INDEX('⚡ COMMAND TRACKER'!$E$5:$E$204,IFERROR(MATCH(SMALL(IF('⚡ COMMAND TRACKER'!$AC$5:$AC$204&lt;="",9999999,'⚡ COMMAND TRACKER'!$AC$5:$AC$204),70),'⚡ COMMAND TRACKER'!$AC$5:$AC$204,0),"")),"")</f>
        <v/>
      </c>
      <c r="D73" s="30" t="str">
        <f aca="false">IFERROR(INDEX('⚡ COMMAND TRACKER'!$B$5:$B$204,IFERROR(MATCH(SMALL(IF('⚡ COMMAND TRACKER'!$AC$5:$AC$204&lt;="",9999999,'⚡ COMMAND TRACKER'!$AC$5:$AC$204),70),'⚡ COMMAND TRACKER'!$AC$5:$AC$204,0),"")),"")</f>
        <v/>
      </c>
      <c r="E73" s="35" t="str">
        <f aca="false">IFERROR(INDEX('⚡ COMMAND TRACKER'!$Y$5:$Y$204,IFERROR(MATCH(SMALL(IF('⚡ COMMAND TRACKER'!$AC$5:$AC$204&lt;="",9999999,'⚡ COMMAND TRACKER'!$AC$5:$AC$204),70),'⚡ COMMAND TRACKER'!$AC$5:$AC$204,0),"")),"")</f>
        <v/>
      </c>
      <c r="F73" s="11" t="str">
        <f aca="false">IFERROR(INDEX('⚡ COMMAND TRACKER'!$Z$5:$Z$204,IFERROR(MATCH(SMALL(IF('⚡ COMMAND TRACKER'!$AC$5:$AC$204&lt;="",9999999,'⚡ COMMAND TRACKER'!$AC$5:$AC$204),70),'⚡ COMMAND TRACKER'!$AC$5:$AC$204,0),"")),"")</f>
        <v/>
      </c>
      <c r="G73" s="11" t="str">
        <f aca="false">IFERROR(INDEX('⚡ COMMAND TRACKER'!$U$5:$U$204,IFERROR(MATCH(SMALL(IF('⚡ COMMAND TRACKER'!$AC$5:$AC$204&lt;="",9999999,'⚡ COMMAND TRACKER'!$AC$5:$AC$204),70),'⚡ COMMAND TRACKER'!$AC$5:$AC$204,0),"")),"")</f>
        <v/>
      </c>
      <c r="H73" s="10" t="str">
        <f aca="false">IFERROR(INDEX('⚡ COMMAND TRACKER'!$X$5:$X$204,IFERROR(MATCH(SMALL(IF('⚡ COMMAND TRACKER'!$AC$5:$AC$204&lt;="",9999999,'⚡ COMMAND TRACKER'!$AC$5:$AC$204),70),'⚡ COMMAND TRACKER'!$AC$5:$AC$204,0),"")),"")</f>
        <v/>
      </c>
      <c r="I73" s="14" t="str">
        <f aca="false">IFERROR(INDEX('⚡ COMMAND TRACKER'!$AB$5:$AB$204,IFERROR(MATCH(SMALL(IF('⚡ COMMAND TRACKER'!$AC$5:$AC$204&lt;="",9999999,'⚡ COMMAND TRACKER'!$AC$5:$AC$204),70),'⚡ COMMAND TRACKER'!$AC$5:$AC$204,0),"")),"")</f>
        <v/>
      </c>
      <c r="J73" s="14" t="str">
        <f aca="false">IFERROR(INDEX('⚡ COMMAND TRACKER'!$AC$5:$AC$204,IFERROR(MATCH(SMALL(IF('⚡ COMMAND TRACKER'!$AC$5:$AC$204&lt;="",9999999,'⚡ COMMAND TRACKER'!$AC$5:$AC$204),70),'⚡ COMMAND TRACKER'!$AC$5:$AC$204,0),"")),"")</f>
        <v/>
      </c>
      <c r="K73" s="16" t="str">
        <f aca="true">IFERROR(IF(J73="","",TODAY()-J73),"")</f>
        <v/>
      </c>
    </row>
    <row r="74" customFormat="false" ht="19.5" hidden="false" customHeight="true" outlineLevel="0" collapsed="false">
      <c r="A74" s="18" t="str">
        <f aca="true">IFERROR(IF(INDEX('⚡ COMMAND TRACKER'!$AC$5:$AC$204,IFERROR(MATCH(SMALL(IF('⚡ COMMAND TRACKER'!$AC$5:$AC$204&lt;="",9999999,'⚡ COMMAND TRACKER'!$AC$5:$AC$204),71),'⚡ COMMAND TRACKER'!$AC$5:$AC$204,0),""))-TODAY()&lt;0,"🚨 OVERDUE",IF(INDEX('⚡ COMMAND TRACKER'!$AC$5:$AC$204,IFERROR(MATCH(SMALL(IF('⚡ COMMAND TRACKER'!$AC$5:$AC$204&lt;="",9999999,'⚡ COMMAND TRACKER'!$AC$5:$AC$204),71),'⚡ COMMAND TRACKER'!$AC$5:$AC$204,0),""))-TODAY()&lt;=1,"🔔 DUE NOW","📋 UPCOMING")),"")</f>
        <v/>
      </c>
      <c r="B74" s="17" t="str">
        <f aca="false">IFERROR(INDEX('⚡ COMMAND TRACKER'!$A$5:$A$204,IFERROR(MATCH(SMALL(IF('⚡ COMMAND TRACKER'!$AC$5:$AC$204&lt;="",9999999,'⚡ COMMAND TRACKER'!$AC$5:$AC$204),71),'⚡ COMMAND TRACKER'!$AC$5:$AC$204,0),"")),"")</f>
        <v/>
      </c>
      <c r="C74" s="17" t="str">
        <f aca="false">IFERROR(INDEX('⚡ COMMAND TRACKER'!$E$5:$E$204,IFERROR(MATCH(SMALL(IF('⚡ COMMAND TRACKER'!$AC$5:$AC$204&lt;="",9999999,'⚡ COMMAND TRACKER'!$AC$5:$AC$204),71),'⚡ COMMAND TRACKER'!$AC$5:$AC$204,0),"")),"")</f>
        <v/>
      </c>
      <c r="D74" s="27" t="str">
        <f aca="false">IFERROR(INDEX('⚡ COMMAND TRACKER'!$B$5:$B$204,IFERROR(MATCH(SMALL(IF('⚡ COMMAND TRACKER'!$AC$5:$AC$204&lt;="",9999999,'⚡ COMMAND TRACKER'!$AC$5:$AC$204),71),'⚡ COMMAND TRACKER'!$AC$5:$AC$204,0),"")),"")</f>
        <v/>
      </c>
      <c r="E74" s="34" t="str">
        <f aca="false">IFERROR(INDEX('⚡ COMMAND TRACKER'!$Y$5:$Y$204,IFERROR(MATCH(SMALL(IF('⚡ COMMAND TRACKER'!$AC$5:$AC$204&lt;="",9999999,'⚡ COMMAND TRACKER'!$AC$5:$AC$204),71),'⚡ COMMAND TRACKER'!$AC$5:$AC$204,0),"")),"")</f>
        <v/>
      </c>
      <c r="F74" s="18" t="str">
        <f aca="false">IFERROR(INDEX('⚡ COMMAND TRACKER'!$Z$5:$Z$204,IFERROR(MATCH(SMALL(IF('⚡ COMMAND TRACKER'!$AC$5:$AC$204&lt;="",9999999,'⚡ COMMAND TRACKER'!$AC$5:$AC$204),71),'⚡ COMMAND TRACKER'!$AC$5:$AC$204,0),"")),"")</f>
        <v/>
      </c>
      <c r="G74" s="18" t="str">
        <f aca="false">IFERROR(INDEX('⚡ COMMAND TRACKER'!$U$5:$U$204,IFERROR(MATCH(SMALL(IF('⚡ COMMAND TRACKER'!$AC$5:$AC$204&lt;="",9999999,'⚡ COMMAND TRACKER'!$AC$5:$AC$204),71),'⚡ COMMAND TRACKER'!$AC$5:$AC$204,0),"")),"")</f>
        <v/>
      </c>
      <c r="H74" s="17" t="str">
        <f aca="false">IFERROR(INDEX('⚡ COMMAND TRACKER'!$X$5:$X$204,IFERROR(MATCH(SMALL(IF('⚡ COMMAND TRACKER'!$AC$5:$AC$204&lt;="",9999999,'⚡ COMMAND TRACKER'!$AC$5:$AC$204),71),'⚡ COMMAND TRACKER'!$AC$5:$AC$204,0),"")),"")</f>
        <v/>
      </c>
      <c r="I74" s="21" t="str">
        <f aca="false">IFERROR(INDEX('⚡ COMMAND TRACKER'!$AB$5:$AB$204,IFERROR(MATCH(SMALL(IF('⚡ COMMAND TRACKER'!$AC$5:$AC$204&lt;="",9999999,'⚡ COMMAND TRACKER'!$AC$5:$AC$204),71),'⚡ COMMAND TRACKER'!$AC$5:$AC$204,0),"")),"")</f>
        <v/>
      </c>
      <c r="J74" s="21" t="str">
        <f aca="false">IFERROR(INDEX('⚡ COMMAND TRACKER'!$AC$5:$AC$204,IFERROR(MATCH(SMALL(IF('⚡ COMMAND TRACKER'!$AC$5:$AC$204&lt;="",9999999,'⚡ COMMAND TRACKER'!$AC$5:$AC$204),71),'⚡ COMMAND TRACKER'!$AC$5:$AC$204,0),"")),"")</f>
        <v/>
      </c>
      <c r="K74" s="23" t="str">
        <f aca="true">IFERROR(IF(J74="","",TODAY()-J74),"")</f>
        <v/>
      </c>
    </row>
    <row r="75" customFormat="false" ht="19.5" hidden="false" customHeight="true" outlineLevel="0" collapsed="false">
      <c r="A75" s="11" t="str">
        <f aca="true">IFERROR(IF(INDEX('⚡ COMMAND TRACKER'!$AC$5:$AC$204,IFERROR(MATCH(SMALL(IF('⚡ COMMAND TRACKER'!$AC$5:$AC$204&lt;="",9999999,'⚡ COMMAND TRACKER'!$AC$5:$AC$204),72),'⚡ COMMAND TRACKER'!$AC$5:$AC$204,0),""))-TODAY()&lt;0,"🚨 OVERDUE",IF(INDEX('⚡ COMMAND TRACKER'!$AC$5:$AC$204,IFERROR(MATCH(SMALL(IF('⚡ COMMAND TRACKER'!$AC$5:$AC$204&lt;="",9999999,'⚡ COMMAND TRACKER'!$AC$5:$AC$204),72),'⚡ COMMAND TRACKER'!$AC$5:$AC$204,0),""))-TODAY()&lt;=1,"🔔 DUE NOW","📋 UPCOMING")),"")</f>
        <v/>
      </c>
      <c r="B75" s="10" t="str">
        <f aca="false">IFERROR(INDEX('⚡ COMMAND TRACKER'!$A$5:$A$204,IFERROR(MATCH(SMALL(IF('⚡ COMMAND TRACKER'!$AC$5:$AC$204&lt;="",9999999,'⚡ COMMAND TRACKER'!$AC$5:$AC$204),72),'⚡ COMMAND TRACKER'!$AC$5:$AC$204,0),"")),"")</f>
        <v/>
      </c>
      <c r="C75" s="10" t="str">
        <f aca="false">IFERROR(INDEX('⚡ COMMAND TRACKER'!$E$5:$E$204,IFERROR(MATCH(SMALL(IF('⚡ COMMAND TRACKER'!$AC$5:$AC$204&lt;="",9999999,'⚡ COMMAND TRACKER'!$AC$5:$AC$204),72),'⚡ COMMAND TRACKER'!$AC$5:$AC$204,0),"")),"")</f>
        <v/>
      </c>
      <c r="D75" s="30" t="str">
        <f aca="false">IFERROR(INDEX('⚡ COMMAND TRACKER'!$B$5:$B$204,IFERROR(MATCH(SMALL(IF('⚡ COMMAND TRACKER'!$AC$5:$AC$204&lt;="",9999999,'⚡ COMMAND TRACKER'!$AC$5:$AC$204),72),'⚡ COMMAND TRACKER'!$AC$5:$AC$204,0),"")),"")</f>
        <v/>
      </c>
      <c r="E75" s="35" t="str">
        <f aca="false">IFERROR(INDEX('⚡ COMMAND TRACKER'!$Y$5:$Y$204,IFERROR(MATCH(SMALL(IF('⚡ COMMAND TRACKER'!$AC$5:$AC$204&lt;="",9999999,'⚡ COMMAND TRACKER'!$AC$5:$AC$204),72),'⚡ COMMAND TRACKER'!$AC$5:$AC$204,0),"")),"")</f>
        <v/>
      </c>
      <c r="F75" s="11" t="str">
        <f aca="false">IFERROR(INDEX('⚡ COMMAND TRACKER'!$Z$5:$Z$204,IFERROR(MATCH(SMALL(IF('⚡ COMMAND TRACKER'!$AC$5:$AC$204&lt;="",9999999,'⚡ COMMAND TRACKER'!$AC$5:$AC$204),72),'⚡ COMMAND TRACKER'!$AC$5:$AC$204,0),"")),"")</f>
        <v/>
      </c>
      <c r="G75" s="11" t="str">
        <f aca="false">IFERROR(INDEX('⚡ COMMAND TRACKER'!$U$5:$U$204,IFERROR(MATCH(SMALL(IF('⚡ COMMAND TRACKER'!$AC$5:$AC$204&lt;="",9999999,'⚡ COMMAND TRACKER'!$AC$5:$AC$204),72),'⚡ COMMAND TRACKER'!$AC$5:$AC$204,0),"")),"")</f>
        <v/>
      </c>
      <c r="H75" s="10" t="str">
        <f aca="false">IFERROR(INDEX('⚡ COMMAND TRACKER'!$X$5:$X$204,IFERROR(MATCH(SMALL(IF('⚡ COMMAND TRACKER'!$AC$5:$AC$204&lt;="",9999999,'⚡ COMMAND TRACKER'!$AC$5:$AC$204),72),'⚡ COMMAND TRACKER'!$AC$5:$AC$204,0),"")),"")</f>
        <v/>
      </c>
      <c r="I75" s="14" t="str">
        <f aca="false">IFERROR(INDEX('⚡ COMMAND TRACKER'!$AB$5:$AB$204,IFERROR(MATCH(SMALL(IF('⚡ COMMAND TRACKER'!$AC$5:$AC$204&lt;="",9999999,'⚡ COMMAND TRACKER'!$AC$5:$AC$204),72),'⚡ COMMAND TRACKER'!$AC$5:$AC$204,0),"")),"")</f>
        <v/>
      </c>
      <c r="J75" s="14" t="str">
        <f aca="false">IFERROR(INDEX('⚡ COMMAND TRACKER'!$AC$5:$AC$204,IFERROR(MATCH(SMALL(IF('⚡ COMMAND TRACKER'!$AC$5:$AC$204&lt;="",9999999,'⚡ COMMAND TRACKER'!$AC$5:$AC$204),72),'⚡ COMMAND TRACKER'!$AC$5:$AC$204,0),"")),"")</f>
        <v/>
      </c>
      <c r="K75" s="16" t="str">
        <f aca="true">IFERROR(IF(J75="","",TODAY()-J75),"")</f>
        <v/>
      </c>
    </row>
    <row r="76" customFormat="false" ht="19.5" hidden="false" customHeight="true" outlineLevel="0" collapsed="false">
      <c r="A76" s="18" t="str">
        <f aca="true">IFERROR(IF(INDEX('⚡ COMMAND TRACKER'!$AC$5:$AC$204,IFERROR(MATCH(SMALL(IF('⚡ COMMAND TRACKER'!$AC$5:$AC$204&lt;="",9999999,'⚡ COMMAND TRACKER'!$AC$5:$AC$204),73),'⚡ COMMAND TRACKER'!$AC$5:$AC$204,0),""))-TODAY()&lt;0,"🚨 OVERDUE",IF(INDEX('⚡ COMMAND TRACKER'!$AC$5:$AC$204,IFERROR(MATCH(SMALL(IF('⚡ COMMAND TRACKER'!$AC$5:$AC$204&lt;="",9999999,'⚡ COMMAND TRACKER'!$AC$5:$AC$204),73),'⚡ COMMAND TRACKER'!$AC$5:$AC$204,0),""))-TODAY()&lt;=1,"🔔 DUE NOW","📋 UPCOMING")),"")</f>
        <v/>
      </c>
      <c r="B76" s="17" t="str">
        <f aca="false">IFERROR(INDEX('⚡ COMMAND TRACKER'!$A$5:$A$204,IFERROR(MATCH(SMALL(IF('⚡ COMMAND TRACKER'!$AC$5:$AC$204&lt;="",9999999,'⚡ COMMAND TRACKER'!$AC$5:$AC$204),73),'⚡ COMMAND TRACKER'!$AC$5:$AC$204,0),"")),"")</f>
        <v/>
      </c>
      <c r="C76" s="17" t="str">
        <f aca="false">IFERROR(INDEX('⚡ COMMAND TRACKER'!$E$5:$E$204,IFERROR(MATCH(SMALL(IF('⚡ COMMAND TRACKER'!$AC$5:$AC$204&lt;="",9999999,'⚡ COMMAND TRACKER'!$AC$5:$AC$204),73),'⚡ COMMAND TRACKER'!$AC$5:$AC$204,0),"")),"")</f>
        <v/>
      </c>
      <c r="D76" s="27" t="str">
        <f aca="false">IFERROR(INDEX('⚡ COMMAND TRACKER'!$B$5:$B$204,IFERROR(MATCH(SMALL(IF('⚡ COMMAND TRACKER'!$AC$5:$AC$204&lt;="",9999999,'⚡ COMMAND TRACKER'!$AC$5:$AC$204),73),'⚡ COMMAND TRACKER'!$AC$5:$AC$204,0),"")),"")</f>
        <v/>
      </c>
      <c r="E76" s="34" t="str">
        <f aca="false">IFERROR(INDEX('⚡ COMMAND TRACKER'!$Y$5:$Y$204,IFERROR(MATCH(SMALL(IF('⚡ COMMAND TRACKER'!$AC$5:$AC$204&lt;="",9999999,'⚡ COMMAND TRACKER'!$AC$5:$AC$204),73),'⚡ COMMAND TRACKER'!$AC$5:$AC$204,0),"")),"")</f>
        <v/>
      </c>
      <c r="F76" s="18" t="str">
        <f aca="false">IFERROR(INDEX('⚡ COMMAND TRACKER'!$Z$5:$Z$204,IFERROR(MATCH(SMALL(IF('⚡ COMMAND TRACKER'!$AC$5:$AC$204&lt;="",9999999,'⚡ COMMAND TRACKER'!$AC$5:$AC$204),73),'⚡ COMMAND TRACKER'!$AC$5:$AC$204,0),"")),"")</f>
        <v/>
      </c>
      <c r="G76" s="18" t="str">
        <f aca="false">IFERROR(INDEX('⚡ COMMAND TRACKER'!$U$5:$U$204,IFERROR(MATCH(SMALL(IF('⚡ COMMAND TRACKER'!$AC$5:$AC$204&lt;="",9999999,'⚡ COMMAND TRACKER'!$AC$5:$AC$204),73),'⚡ COMMAND TRACKER'!$AC$5:$AC$204,0),"")),"")</f>
        <v/>
      </c>
      <c r="H76" s="17" t="str">
        <f aca="false">IFERROR(INDEX('⚡ COMMAND TRACKER'!$X$5:$X$204,IFERROR(MATCH(SMALL(IF('⚡ COMMAND TRACKER'!$AC$5:$AC$204&lt;="",9999999,'⚡ COMMAND TRACKER'!$AC$5:$AC$204),73),'⚡ COMMAND TRACKER'!$AC$5:$AC$204,0),"")),"")</f>
        <v/>
      </c>
      <c r="I76" s="21" t="str">
        <f aca="false">IFERROR(INDEX('⚡ COMMAND TRACKER'!$AB$5:$AB$204,IFERROR(MATCH(SMALL(IF('⚡ COMMAND TRACKER'!$AC$5:$AC$204&lt;="",9999999,'⚡ COMMAND TRACKER'!$AC$5:$AC$204),73),'⚡ COMMAND TRACKER'!$AC$5:$AC$204,0),"")),"")</f>
        <v/>
      </c>
      <c r="J76" s="21" t="str">
        <f aca="false">IFERROR(INDEX('⚡ COMMAND TRACKER'!$AC$5:$AC$204,IFERROR(MATCH(SMALL(IF('⚡ COMMAND TRACKER'!$AC$5:$AC$204&lt;="",9999999,'⚡ COMMAND TRACKER'!$AC$5:$AC$204),73),'⚡ COMMAND TRACKER'!$AC$5:$AC$204,0),"")),"")</f>
        <v/>
      </c>
      <c r="K76" s="23" t="str">
        <f aca="true">IFERROR(IF(J76="","",TODAY()-J76),"")</f>
        <v/>
      </c>
    </row>
    <row r="77" customFormat="false" ht="19.5" hidden="false" customHeight="true" outlineLevel="0" collapsed="false">
      <c r="A77" s="11" t="str">
        <f aca="true">IFERROR(IF(INDEX('⚡ COMMAND TRACKER'!$AC$5:$AC$204,IFERROR(MATCH(SMALL(IF('⚡ COMMAND TRACKER'!$AC$5:$AC$204&lt;="",9999999,'⚡ COMMAND TRACKER'!$AC$5:$AC$204),74),'⚡ COMMAND TRACKER'!$AC$5:$AC$204,0),""))-TODAY()&lt;0,"🚨 OVERDUE",IF(INDEX('⚡ COMMAND TRACKER'!$AC$5:$AC$204,IFERROR(MATCH(SMALL(IF('⚡ COMMAND TRACKER'!$AC$5:$AC$204&lt;="",9999999,'⚡ COMMAND TRACKER'!$AC$5:$AC$204),74),'⚡ COMMAND TRACKER'!$AC$5:$AC$204,0),""))-TODAY()&lt;=1,"🔔 DUE NOW","📋 UPCOMING")),"")</f>
        <v/>
      </c>
      <c r="B77" s="10" t="str">
        <f aca="false">IFERROR(INDEX('⚡ COMMAND TRACKER'!$A$5:$A$204,IFERROR(MATCH(SMALL(IF('⚡ COMMAND TRACKER'!$AC$5:$AC$204&lt;="",9999999,'⚡ COMMAND TRACKER'!$AC$5:$AC$204),74),'⚡ COMMAND TRACKER'!$AC$5:$AC$204,0),"")),"")</f>
        <v/>
      </c>
      <c r="C77" s="10" t="str">
        <f aca="false">IFERROR(INDEX('⚡ COMMAND TRACKER'!$E$5:$E$204,IFERROR(MATCH(SMALL(IF('⚡ COMMAND TRACKER'!$AC$5:$AC$204&lt;="",9999999,'⚡ COMMAND TRACKER'!$AC$5:$AC$204),74),'⚡ COMMAND TRACKER'!$AC$5:$AC$204,0),"")),"")</f>
        <v/>
      </c>
      <c r="D77" s="30" t="str">
        <f aca="false">IFERROR(INDEX('⚡ COMMAND TRACKER'!$B$5:$B$204,IFERROR(MATCH(SMALL(IF('⚡ COMMAND TRACKER'!$AC$5:$AC$204&lt;="",9999999,'⚡ COMMAND TRACKER'!$AC$5:$AC$204),74),'⚡ COMMAND TRACKER'!$AC$5:$AC$204,0),"")),"")</f>
        <v/>
      </c>
      <c r="E77" s="35" t="str">
        <f aca="false">IFERROR(INDEX('⚡ COMMAND TRACKER'!$Y$5:$Y$204,IFERROR(MATCH(SMALL(IF('⚡ COMMAND TRACKER'!$AC$5:$AC$204&lt;="",9999999,'⚡ COMMAND TRACKER'!$AC$5:$AC$204),74),'⚡ COMMAND TRACKER'!$AC$5:$AC$204,0),"")),"")</f>
        <v/>
      </c>
      <c r="F77" s="11" t="str">
        <f aca="false">IFERROR(INDEX('⚡ COMMAND TRACKER'!$Z$5:$Z$204,IFERROR(MATCH(SMALL(IF('⚡ COMMAND TRACKER'!$AC$5:$AC$204&lt;="",9999999,'⚡ COMMAND TRACKER'!$AC$5:$AC$204),74),'⚡ COMMAND TRACKER'!$AC$5:$AC$204,0),"")),"")</f>
        <v/>
      </c>
      <c r="G77" s="11" t="str">
        <f aca="false">IFERROR(INDEX('⚡ COMMAND TRACKER'!$U$5:$U$204,IFERROR(MATCH(SMALL(IF('⚡ COMMAND TRACKER'!$AC$5:$AC$204&lt;="",9999999,'⚡ COMMAND TRACKER'!$AC$5:$AC$204),74),'⚡ COMMAND TRACKER'!$AC$5:$AC$204,0),"")),"")</f>
        <v/>
      </c>
      <c r="H77" s="10" t="str">
        <f aca="false">IFERROR(INDEX('⚡ COMMAND TRACKER'!$X$5:$X$204,IFERROR(MATCH(SMALL(IF('⚡ COMMAND TRACKER'!$AC$5:$AC$204&lt;="",9999999,'⚡ COMMAND TRACKER'!$AC$5:$AC$204),74),'⚡ COMMAND TRACKER'!$AC$5:$AC$204,0),"")),"")</f>
        <v/>
      </c>
      <c r="I77" s="14" t="str">
        <f aca="false">IFERROR(INDEX('⚡ COMMAND TRACKER'!$AB$5:$AB$204,IFERROR(MATCH(SMALL(IF('⚡ COMMAND TRACKER'!$AC$5:$AC$204&lt;="",9999999,'⚡ COMMAND TRACKER'!$AC$5:$AC$204),74),'⚡ COMMAND TRACKER'!$AC$5:$AC$204,0),"")),"")</f>
        <v/>
      </c>
      <c r="J77" s="14" t="str">
        <f aca="false">IFERROR(INDEX('⚡ COMMAND TRACKER'!$AC$5:$AC$204,IFERROR(MATCH(SMALL(IF('⚡ COMMAND TRACKER'!$AC$5:$AC$204&lt;="",9999999,'⚡ COMMAND TRACKER'!$AC$5:$AC$204),74),'⚡ COMMAND TRACKER'!$AC$5:$AC$204,0),"")),"")</f>
        <v/>
      </c>
      <c r="K77" s="16" t="str">
        <f aca="true">IFERROR(IF(J77="","",TODAY()-J77),"")</f>
        <v/>
      </c>
    </row>
    <row r="78" customFormat="false" ht="19.5" hidden="false" customHeight="true" outlineLevel="0" collapsed="false">
      <c r="A78" s="18" t="str">
        <f aca="true">IFERROR(IF(INDEX('⚡ COMMAND TRACKER'!$AC$5:$AC$204,IFERROR(MATCH(SMALL(IF('⚡ COMMAND TRACKER'!$AC$5:$AC$204&lt;="",9999999,'⚡ COMMAND TRACKER'!$AC$5:$AC$204),75),'⚡ COMMAND TRACKER'!$AC$5:$AC$204,0),""))-TODAY()&lt;0,"🚨 OVERDUE",IF(INDEX('⚡ COMMAND TRACKER'!$AC$5:$AC$204,IFERROR(MATCH(SMALL(IF('⚡ COMMAND TRACKER'!$AC$5:$AC$204&lt;="",9999999,'⚡ COMMAND TRACKER'!$AC$5:$AC$204),75),'⚡ COMMAND TRACKER'!$AC$5:$AC$204,0),""))-TODAY()&lt;=1,"🔔 DUE NOW","📋 UPCOMING")),"")</f>
        <v/>
      </c>
      <c r="B78" s="17" t="str">
        <f aca="false">IFERROR(INDEX('⚡ COMMAND TRACKER'!$A$5:$A$204,IFERROR(MATCH(SMALL(IF('⚡ COMMAND TRACKER'!$AC$5:$AC$204&lt;="",9999999,'⚡ COMMAND TRACKER'!$AC$5:$AC$204),75),'⚡ COMMAND TRACKER'!$AC$5:$AC$204,0),"")),"")</f>
        <v/>
      </c>
      <c r="C78" s="17" t="str">
        <f aca="false">IFERROR(INDEX('⚡ COMMAND TRACKER'!$E$5:$E$204,IFERROR(MATCH(SMALL(IF('⚡ COMMAND TRACKER'!$AC$5:$AC$204&lt;="",9999999,'⚡ COMMAND TRACKER'!$AC$5:$AC$204),75),'⚡ COMMAND TRACKER'!$AC$5:$AC$204,0),"")),"")</f>
        <v/>
      </c>
      <c r="D78" s="27" t="str">
        <f aca="false">IFERROR(INDEX('⚡ COMMAND TRACKER'!$B$5:$B$204,IFERROR(MATCH(SMALL(IF('⚡ COMMAND TRACKER'!$AC$5:$AC$204&lt;="",9999999,'⚡ COMMAND TRACKER'!$AC$5:$AC$204),75),'⚡ COMMAND TRACKER'!$AC$5:$AC$204,0),"")),"")</f>
        <v/>
      </c>
      <c r="E78" s="34" t="str">
        <f aca="false">IFERROR(INDEX('⚡ COMMAND TRACKER'!$Y$5:$Y$204,IFERROR(MATCH(SMALL(IF('⚡ COMMAND TRACKER'!$AC$5:$AC$204&lt;="",9999999,'⚡ COMMAND TRACKER'!$AC$5:$AC$204),75),'⚡ COMMAND TRACKER'!$AC$5:$AC$204,0),"")),"")</f>
        <v/>
      </c>
      <c r="F78" s="18" t="str">
        <f aca="false">IFERROR(INDEX('⚡ COMMAND TRACKER'!$Z$5:$Z$204,IFERROR(MATCH(SMALL(IF('⚡ COMMAND TRACKER'!$AC$5:$AC$204&lt;="",9999999,'⚡ COMMAND TRACKER'!$AC$5:$AC$204),75),'⚡ COMMAND TRACKER'!$AC$5:$AC$204,0),"")),"")</f>
        <v/>
      </c>
      <c r="G78" s="18" t="str">
        <f aca="false">IFERROR(INDEX('⚡ COMMAND TRACKER'!$U$5:$U$204,IFERROR(MATCH(SMALL(IF('⚡ COMMAND TRACKER'!$AC$5:$AC$204&lt;="",9999999,'⚡ COMMAND TRACKER'!$AC$5:$AC$204),75),'⚡ COMMAND TRACKER'!$AC$5:$AC$204,0),"")),"")</f>
        <v/>
      </c>
      <c r="H78" s="17" t="str">
        <f aca="false">IFERROR(INDEX('⚡ COMMAND TRACKER'!$X$5:$X$204,IFERROR(MATCH(SMALL(IF('⚡ COMMAND TRACKER'!$AC$5:$AC$204&lt;="",9999999,'⚡ COMMAND TRACKER'!$AC$5:$AC$204),75),'⚡ COMMAND TRACKER'!$AC$5:$AC$204,0),"")),"")</f>
        <v/>
      </c>
      <c r="I78" s="21" t="str">
        <f aca="false">IFERROR(INDEX('⚡ COMMAND TRACKER'!$AB$5:$AB$204,IFERROR(MATCH(SMALL(IF('⚡ COMMAND TRACKER'!$AC$5:$AC$204&lt;="",9999999,'⚡ COMMAND TRACKER'!$AC$5:$AC$204),75),'⚡ COMMAND TRACKER'!$AC$5:$AC$204,0),"")),"")</f>
        <v/>
      </c>
      <c r="J78" s="21" t="str">
        <f aca="false">IFERROR(INDEX('⚡ COMMAND TRACKER'!$AC$5:$AC$204,IFERROR(MATCH(SMALL(IF('⚡ COMMAND TRACKER'!$AC$5:$AC$204&lt;="",9999999,'⚡ COMMAND TRACKER'!$AC$5:$AC$204),75),'⚡ COMMAND TRACKER'!$AC$5:$AC$204,0),"")),"")</f>
        <v/>
      </c>
      <c r="K78" s="23" t="str">
        <f aca="true">IFERROR(IF(J78="","",TODAY()-J78),"")</f>
        <v/>
      </c>
    </row>
    <row r="79" customFormat="false" ht="19.5" hidden="false" customHeight="true" outlineLevel="0" collapsed="false">
      <c r="A79" s="11" t="str">
        <f aca="true">IFERROR(IF(INDEX('⚡ COMMAND TRACKER'!$AC$5:$AC$204,IFERROR(MATCH(SMALL(IF('⚡ COMMAND TRACKER'!$AC$5:$AC$204&lt;="",9999999,'⚡ COMMAND TRACKER'!$AC$5:$AC$204),76),'⚡ COMMAND TRACKER'!$AC$5:$AC$204,0),""))-TODAY()&lt;0,"🚨 OVERDUE",IF(INDEX('⚡ COMMAND TRACKER'!$AC$5:$AC$204,IFERROR(MATCH(SMALL(IF('⚡ COMMAND TRACKER'!$AC$5:$AC$204&lt;="",9999999,'⚡ COMMAND TRACKER'!$AC$5:$AC$204),76),'⚡ COMMAND TRACKER'!$AC$5:$AC$204,0),""))-TODAY()&lt;=1,"🔔 DUE NOW","📋 UPCOMING")),"")</f>
        <v/>
      </c>
      <c r="B79" s="10" t="str">
        <f aca="false">IFERROR(INDEX('⚡ COMMAND TRACKER'!$A$5:$A$204,IFERROR(MATCH(SMALL(IF('⚡ COMMAND TRACKER'!$AC$5:$AC$204&lt;="",9999999,'⚡ COMMAND TRACKER'!$AC$5:$AC$204),76),'⚡ COMMAND TRACKER'!$AC$5:$AC$204,0),"")),"")</f>
        <v/>
      </c>
      <c r="C79" s="10" t="str">
        <f aca="false">IFERROR(INDEX('⚡ COMMAND TRACKER'!$E$5:$E$204,IFERROR(MATCH(SMALL(IF('⚡ COMMAND TRACKER'!$AC$5:$AC$204&lt;="",9999999,'⚡ COMMAND TRACKER'!$AC$5:$AC$204),76),'⚡ COMMAND TRACKER'!$AC$5:$AC$204,0),"")),"")</f>
        <v/>
      </c>
      <c r="D79" s="30" t="str">
        <f aca="false">IFERROR(INDEX('⚡ COMMAND TRACKER'!$B$5:$B$204,IFERROR(MATCH(SMALL(IF('⚡ COMMAND TRACKER'!$AC$5:$AC$204&lt;="",9999999,'⚡ COMMAND TRACKER'!$AC$5:$AC$204),76),'⚡ COMMAND TRACKER'!$AC$5:$AC$204,0),"")),"")</f>
        <v/>
      </c>
      <c r="E79" s="35" t="str">
        <f aca="false">IFERROR(INDEX('⚡ COMMAND TRACKER'!$Y$5:$Y$204,IFERROR(MATCH(SMALL(IF('⚡ COMMAND TRACKER'!$AC$5:$AC$204&lt;="",9999999,'⚡ COMMAND TRACKER'!$AC$5:$AC$204),76),'⚡ COMMAND TRACKER'!$AC$5:$AC$204,0),"")),"")</f>
        <v/>
      </c>
      <c r="F79" s="11" t="str">
        <f aca="false">IFERROR(INDEX('⚡ COMMAND TRACKER'!$Z$5:$Z$204,IFERROR(MATCH(SMALL(IF('⚡ COMMAND TRACKER'!$AC$5:$AC$204&lt;="",9999999,'⚡ COMMAND TRACKER'!$AC$5:$AC$204),76),'⚡ COMMAND TRACKER'!$AC$5:$AC$204,0),"")),"")</f>
        <v/>
      </c>
      <c r="G79" s="11" t="str">
        <f aca="false">IFERROR(INDEX('⚡ COMMAND TRACKER'!$U$5:$U$204,IFERROR(MATCH(SMALL(IF('⚡ COMMAND TRACKER'!$AC$5:$AC$204&lt;="",9999999,'⚡ COMMAND TRACKER'!$AC$5:$AC$204),76),'⚡ COMMAND TRACKER'!$AC$5:$AC$204,0),"")),"")</f>
        <v/>
      </c>
      <c r="H79" s="10" t="str">
        <f aca="false">IFERROR(INDEX('⚡ COMMAND TRACKER'!$X$5:$X$204,IFERROR(MATCH(SMALL(IF('⚡ COMMAND TRACKER'!$AC$5:$AC$204&lt;="",9999999,'⚡ COMMAND TRACKER'!$AC$5:$AC$204),76),'⚡ COMMAND TRACKER'!$AC$5:$AC$204,0),"")),"")</f>
        <v/>
      </c>
      <c r="I79" s="14" t="str">
        <f aca="false">IFERROR(INDEX('⚡ COMMAND TRACKER'!$AB$5:$AB$204,IFERROR(MATCH(SMALL(IF('⚡ COMMAND TRACKER'!$AC$5:$AC$204&lt;="",9999999,'⚡ COMMAND TRACKER'!$AC$5:$AC$204),76),'⚡ COMMAND TRACKER'!$AC$5:$AC$204,0),"")),"")</f>
        <v/>
      </c>
      <c r="J79" s="14" t="str">
        <f aca="false">IFERROR(INDEX('⚡ COMMAND TRACKER'!$AC$5:$AC$204,IFERROR(MATCH(SMALL(IF('⚡ COMMAND TRACKER'!$AC$5:$AC$204&lt;="",9999999,'⚡ COMMAND TRACKER'!$AC$5:$AC$204),76),'⚡ COMMAND TRACKER'!$AC$5:$AC$204,0),"")),"")</f>
        <v/>
      </c>
      <c r="K79" s="16" t="str">
        <f aca="true">IFERROR(IF(J79="","",TODAY()-J79),"")</f>
        <v/>
      </c>
    </row>
    <row r="80" customFormat="false" ht="19.5" hidden="false" customHeight="true" outlineLevel="0" collapsed="false">
      <c r="A80" s="18" t="str">
        <f aca="true">IFERROR(IF(INDEX('⚡ COMMAND TRACKER'!$AC$5:$AC$204,IFERROR(MATCH(SMALL(IF('⚡ COMMAND TRACKER'!$AC$5:$AC$204&lt;="",9999999,'⚡ COMMAND TRACKER'!$AC$5:$AC$204),77),'⚡ COMMAND TRACKER'!$AC$5:$AC$204,0),""))-TODAY()&lt;0,"🚨 OVERDUE",IF(INDEX('⚡ COMMAND TRACKER'!$AC$5:$AC$204,IFERROR(MATCH(SMALL(IF('⚡ COMMAND TRACKER'!$AC$5:$AC$204&lt;="",9999999,'⚡ COMMAND TRACKER'!$AC$5:$AC$204),77),'⚡ COMMAND TRACKER'!$AC$5:$AC$204,0),""))-TODAY()&lt;=1,"🔔 DUE NOW","📋 UPCOMING")),"")</f>
        <v/>
      </c>
      <c r="B80" s="17" t="str">
        <f aca="false">IFERROR(INDEX('⚡ COMMAND TRACKER'!$A$5:$A$204,IFERROR(MATCH(SMALL(IF('⚡ COMMAND TRACKER'!$AC$5:$AC$204&lt;="",9999999,'⚡ COMMAND TRACKER'!$AC$5:$AC$204),77),'⚡ COMMAND TRACKER'!$AC$5:$AC$204,0),"")),"")</f>
        <v/>
      </c>
      <c r="C80" s="17" t="str">
        <f aca="false">IFERROR(INDEX('⚡ COMMAND TRACKER'!$E$5:$E$204,IFERROR(MATCH(SMALL(IF('⚡ COMMAND TRACKER'!$AC$5:$AC$204&lt;="",9999999,'⚡ COMMAND TRACKER'!$AC$5:$AC$204),77),'⚡ COMMAND TRACKER'!$AC$5:$AC$204,0),"")),"")</f>
        <v/>
      </c>
      <c r="D80" s="27" t="str">
        <f aca="false">IFERROR(INDEX('⚡ COMMAND TRACKER'!$B$5:$B$204,IFERROR(MATCH(SMALL(IF('⚡ COMMAND TRACKER'!$AC$5:$AC$204&lt;="",9999999,'⚡ COMMAND TRACKER'!$AC$5:$AC$204),77),'⚡ COMMAND TRACKER'!$AC$5:$AC$204,0),"")),"")</f>
        <v/>
      </c>
      <c r="E80" s="34" t="str">
        <f aca="false">IFERROR(INDEX('⚡ COMMAND TRACKER'!$Y$5:$Y$204,IFERROR(MATCH(SMALL(IF('⚡ COMMAND TRACKER'!$AC$5:$AC$204&lt;="",9999999,'⚡ COMMAND TRACKER'!$AC$5:$AC$204),77),'⚡ COMMAND TRACKER'!$AC$5:$AC$204,0),"")),"")</f>
        <v/>
      </c>
      <c r="F80" s="18" t="str">
        <f aca="false">IFERROR(INDEX('⚡ COMMAND TRACKER'!$Z$5:$Z$204,IFERROR(MATCH(SMALL(IF('⚡ COMMAND TRACKER'!$AC$5:$AC$204&lt;="",9999999,'⚡ COMMAND TRACKER'!$AC$5:$AC$204),77),'⚡ COMMAND TRACKER'!$AC$5:$AC$204,0),"")),"")</f>
        <v/>
      </c>
      <c r="G80" s="18" t="str">
        <f aca="false">IFERROR(INDEX('⚡ COMMAND TRACKER'!$U$5:$U$204,IFERROR(MATCH(SMALL(IF('⚡ COMMAND TRACKER'!$AC$5:$AC$204&lt;="",9999999,'⚡ COMMAND TRACKER'!$AC$5:$AC$204),77),'⚡ COMMAND TRACKER'!$AC$5:$AC$204,0),"")),"")</f>
        <v/>
      </c>
      <c r="H80" s="17" t="str">
        <f aca="false">IFERROR(INDEX('⚡ COMMAND TRACKER'!$X$5:$X$204,IFERROR(MATCH(SMALL(IF('⚡ COMMAND TRACKER'!$AC$5:$AC$204&lt;="",9999999,'⚡ COMMAND TRACKER'!$AC$5:$AC$204),77),'⚡ COMMAND TRACKER'!$AC$5:$AC$204,0),"")),"")</f>
        <v/>
      </c>
      <c r="I80" s="21" t="str">
        <f aca="false">IFERROR(INDEX('⚡ COMMAND TRACKER'!$AB$5:$AB$204,IFERROR(MATCH(SMALL(IF('⚡ COMMAND TRACKER'!$AC$5:$AC$204&lt;="",9999999,'⚡ COMMAND TRACKER'!$AC$5:$AC$204),77),'⚡ COMMAND TRACKER'!$AC$5:$AC$204,0),"")),"")</f>
        <v/>
      </c>
      <c r="J80" s="21" t="str">
        <f aca="false">IFERROR(INDEX('⚡ COMMAND TRACKER'!$AC$5:$AC$204,IFERROR(MATCH(SMALL(IF('⚡ COMMAND TRACKER'!$AC$5:$AC$204&lt;="",9999999,'⚡ COMMAND TRACKER'!$AC$5:$AC$204),77),'⚡ COMMAND TRACKER'!$AC$5:$AC$204,0),"")),"")</f>
        <v/>
      </c>
      <c r="K80" s="23" t="str">
        <f aca="true">IFERROR(IF(J80="","",TODAY()-J80),"")</f>
        <v/>
      </c>
    </row>
    <row r="81" customFormat="false" ht="19.5" hidden="false" customHeight="true" outlineLevel="0" collapsed="false">
      <c r="A81" s="11" t="str">
        <f aca="true">IFERROR(IF(INDEX('⚡ COMMAND TRACKER'!$AC$5:$AC$204,IFERROR(MATCH(SMALL(IF('⚡ COMMAND TRACKER'!$AC$5:$AC$204&lt;="",9999999,'⚡ COMMAND TRACKER'!$AC$5:$AC$204),78),'⚡ COMMAND TRACKER'!$AC$5:$AC$204,0),""))-TODAY()&lt;0,"🚨 OVERDUE",IF(INDEX('⚡ COMMAND TRACKER'!$AC$5:$AC$204,IFERROR(MATCH(SMALL(IF('⚡ COMMAND TRACKER'!$AC$5:$AC$204&lt;="",9999999,'⚡ COMMAND TRACKER'!$AC$5:$AC$204),78),'⚡ COMMAND TRACKER'!$AC$5:$AC$204,0),""))-TODAY()&lt;=1,"🔔 DUE NOW","📋 UPCOMING")),"")</f>
        <v/>
      </c>
      <c r="B81" s="10" t="str">
        <f aca="false">IFERROR(INDEX('⚡ COMMAND TRACKER'!$A$5:$A$204,IFERROR(MATCH(SMALL(IF('⚡ COMMAND TRACKER'!$AC$5:$AC$204&lt;="",9999999,'⚡ COMMAND TRACKER'!$AC$5:$AC$204),78),'⚡ COMMAND TRACKER'!$AC$5:$AC$204,0),"")),"")</f>
        <v/>
      </c>
      <c r="C81" s="10" t="str">
        <f aca="false">IFERROR(INDEX('⚡ COMMAND TRACKER'!$E$5:$E$204,IFERROR(MATCH(SMALL(IF('⚡ COMMAND TRACKER'!$AC$5:$AC$204&lt;="",9999999,'⚡ COMMAND TRACKER'!$AC$5:$AC$204),78),'⚡ COMMAND TRACKER'!$AC$5:$AC$204,0),"")),"")</f>
        <v/>
      </c>
      <c r="D81" s="30" t="str">
        <f aca="false">IFERROR(INDEX('⚡ COMMAND TRACKER'!$B$5:$B$204,IFERROR(MATCH(SMALL(IF('⚡ COMMAND TRACKER'!$AC$5:$AC$204&lt;="",9999999,'⚡ COMMAND TRACKER'!$AC$5:$AC$204),78),'⚡ COMMAND TRACKER'!$AC$5:$AC$204,0),"")),"")</f>
        <v/>
      </c>
      <c r="E81" s="35" t="str">
        <f aca="false">IFERROR(INDEX('⚡ COMMAND TRACKER'!$Y$5:$Y$204,IFERROR(MATCH(SMALL(IF('⚡ COMMAND TRACKER'!$AC$5:$AC$204&lt;="",9999999,'⚡ COMMAND TRACKER'!$AC$5:$AC$204),78),'⚡ COMMAND TRACKER'!$AC$5:$AC$204,0),"")),"")</f>
        <v/>
      </c>
      <c r="F81" s="11" t="str">
        <f aca="false">IFERROR(INDEX('⚡ COMMAND TRACKER'!$Z$5:$Z$204,IFERROR(MATCH(SMALL(IF('⚡ COMMAND TRACKER'!$AC$5:$AC$204&lt;="",9999999,'⚡ COMMAND TRACKER'!$AC$5:$AC$204),78),'⚡ COMMAND TRACKER'!$AC$5:$AC$204,0),"")),"")</f>
        <v/>
      </c>
      <c r="G81" s="11" t="str">
        <f aca="false">IFERROR(INDEX('⚡ COMMAND TRACKER'!$U$5:$U$204,IFERROR(MATCH(SMALL(IF('⚡ COMMAND TRACKER'!$AC$5:$AC$204&lt;="",9999999,'⚡ COMMAND TRACKER'!$AC$5:$AC$204),78),'⚡ COMMAND TRACKER'!$AC$5:$AC$204,0),"")),"")</f>
        <v/>
      </c>
      <c r="H81" s="10" t="str">
        <f aca="false">IFERROR(INDEX('⚡ COMMAND TRACKER'!$X$5:$X$204,IFERROR(MATCH(SMALL(IF('⚡ COMMAND TRACKER'!$AC$5:$AC$204&lt;="",9999999,'⚡ COMMAND TRACKER'!$AC$5:$AC$204),78),'⚡ COMMAND TRACKER'!$AC$5:$AC$204,0),"")),"")</f>
        <v/>
      </c>
      <c r="I81" s="14" t="str">
        <f aca="false">IFERROR(INDEX('⚡ COMMAND TRACKER'!$AB$5:$AB$204,IFERROR(MATCH(SMALL(IF('⚡ COMMAND TRACKER'!$AC$5:$AC$204&lt;="",9999999,'⚡ COMMAND TRACKER'!$AC$5:$AC$204),78),'⚡ COMMAND TRACKER'!$AC$5:$AC$204,0),"")),"")</f>
        <v/>
      </c>
      <c r="J81" s="14" t="str">
        <f aca="false">IFERROR(INDEX('⚡ COMMAND TRACKER'!$AC$5:$AC$204,IFERROR(MATCH(SMALL(IF('⚡ COMMAND TRACKER'!$AC$5:$AC$204&lt;="",9999999,'⚡ COMMAND TRACKER'!$AC$5:$AC$204),78),'⚡ COMMAND TRACKER'!$AC$5:$AC$204,0),"")),"")</f>
        <v/>
      </c>
      <c r="K81" s="16" t="str">
        <f aca="true">IFERROR(IF(J81="","",TODAY()-J81),"")</f>
        <v/>
      </c>
    </row>
    <row r="82" customFormat="false" ht="19.5" hidden="false" customHeight="true" outlineLevel="0" collapsed="false">
      <c r="A82" s="18" t="str">
        <f aca="true">IFERROR(IF(INDEX('⚡ COMMAND TRACKER'!$AC$5:$AC$204,IFERROR(MATCH(SMALL(IF('⚡ COMMAND TRACKER'!$AC$5:$AC$204&lt;="",9999999,'⚡ COMMAND TRACKER'!$AC$5:$AC$204),79),'⚡ COMMAND TRACKER'!$AC$5:$AC$204,0),""))-TODAY()&lt;0,"🚨 OVERDUE",IF(INDEX('⚡ COMMAND TRACKER'!$AC$5:$AC$204,IFERROR(MATCH(SMALL(IF('⚡ COMMAND TRACKER'!$AC$5:$AC$204&lt;="",9999999,'⚡ COMMAND TRACKER'!$AC$5:$AC$204),79),'⚡ COMMAND TRACKER'!$AC$5:$AC$204,0),""))-TODAY()&lt;=1,"🔔 DUE NOW","📋 UPCOMING")),"")</f>
        <v/>
      </c>
      <c r="B82" s="17" t="str">
        <f aca="false">IFERROR(INDEX('⚡ COMMAND TRACKER'!$A$5:$A$204,IFERROR(MATCH(SMALL(IF('⚡ COMMAND TRACKER'!$AC$5:$AC$204&lt;="",9999999,'⚡ COMMAND TRACKER'!$AC$5:$AC$204),79),'⚡ COMMAND TRACKER'!$AC$5:$AC$204,0),"")),"")</f>
        <v/>
      </c>
      <c r="C82" s="17" t="str">
        <f aca="false">IFERROR(INDEX('⚡ COMMAND TRACKER'!$E$5:$E$204,IFERROR(MATCH(SMALL(IF('⚡ COMMAND TRACKER'!$AC$5:$AC$204&lt;="",9999999,'⚡ COMMAND TRACKER'!$AC$5:$AC$204),79),'⚡ COMMAND TRACKER'!$AC$5:$AC$204,0),"")),"")</f>
        <v/>
      </c>
      <c r="D82" s="27" t="str">
        <f aca="false">IFERROR(INDEX('⚡ COMMAND TRACKER'!$B$5:$B$204,IFERROR(MATCH(SMALL(IF('⚡ COMMAND TRACKER'!$AC$5:$AC$204&lt;="",9999999,'⚡ COMMAND TRACKER'!$AC$5:$AC$204),79),'⚡ COMMAND TRACKER'!$AC$5:$AC$204,0),"")),"")</f>
        <v/>
      </c>
      <c r="E82" s="34" t="str">
        <f aca="false">IFERROR(INDEX('⚡ COMMAND TRACKER'!$Y$5:$Y$204,IFERROR(MATCH(SMALL(IF('⚡ COMMAND TRACKER'!$AC$5:$AC$204&lt;="",9999999,'⚡ COMMAND TRACKER'!$AC$5:$AC$204),79),'⚡ COMMAND TRACKER'!$AC$5:$AC$204,0),"")),"")</f>
        <v/>
      </c>
      <c r="F82" s="18" t="str">
        <f aca="false">IFERROR(INDEX('⚡ COMMAND TRACKER'!$Z$5:$Z$204,IFERROR(MATCH(SMALL(IF('⚡ COMMAND TRACKER'!$AC$5:$AC$204&lt;="",9999999,'⚡ COMMAND TRACKER'!$AC$5:$AC$204),79),'⚡ COMMAND TRACKER'!$AC$5:$AC$204,0),"")),"")</f>
        <v/>
      </c>
      <c r="G82" s="18" t="str">
        <f aca="false">IFERROR(INDEX('⚡ COMMAND TRACKER'!$U$5:$U$204,IFERROR(MATCH(SMALL(IF('⚡ COMMAND TRACKER'!$AC$5:$AC$204&lt;="",9999999,'⚡ COMMAND TRACKER'!$AC$5:$AC$204),79),'⚡ COMMAND TRACKER'!$AC$5:$AC$204,0),"")),"")</f>
        <v/>
      </c>
      <c r="H82" s="17" t="str">
        <f aca="false">IFERROR(INDEX('⚡ COMMAND TRACKER'!$X$5:$X$204,IFERROR(MATCH(SMALL(IF('⚡ COMMAND TRACKER'!$AC$5:$AC$204&lt;="",9999999,'⚡ COMMAND TRACKER'!$AC$5:$AC$204),79),'⚡ COMMAND TRACKER'!$AC$5:$AC$204,0),"")),"")</f>
        <v/>
      </c>
      <c r="I82" s="21" t="str">
        <f aca="false">IFERROR(INDEX('⚡ COMMAND TRACKER'!$AB$5:$AB$204,IFERROR(MATCH(SMALL(IF('⚡ COMMAND TRACKER'!$AC$5:$AC$204&lt;="",9999999,'⚡ COMMAND TRACKER'!$AC$5:$AC$204),79),'⚡ COMMAND TRACKER'!$AC$5:$AC$204,0),"")),"")</f>
        <v/>
      </c>
      <c r="J82" s="21" t="str">
        <f aca="false">IFERROR(INDEX('⚡ COMMAND TRACKER'!$AC$5:$AC$204,IFERROR(MATCH(SMALL(IF('⚡ COMMAND TRACKER'!$AC$5:$AC$204&lt;="",9999999,'⚡ COMMAND TRACKER'!$AC$5:$AC$204),79),'⚡ COMMAND TRACKER'!$AC$5:$AC$204,0),"")),"")</f>
        <v/>
      </c>
      <c r="K82" s="23" t="str">
        <f aca="true">IFERROR(IF(J82="","",TODAY()-J82),"")</f>
        <v/>
      </c>
    </row>
    <row r="83" customFormat="false" ht="19.5" hidden="false" customHeight="true" outlineLevel="0" collapsed="false">
      <c r="A83" s="11" t="str">
        <f aca="true">IFERROR(IF(INDEX('⚡ COMMAND TRACKER'!$AC$5:$AC$204,IFERROR(MATCH(SMALL(IF('⚡ COMMAND TRACKER'!$AC$5:$AC$204&lt;="",9999999,'⚡ COMMAND TRACKER'!$AC$5:$AC$204),80),'⚡ COMMAND TRACKER'!$AC$5:$AC$204,0),""))-TODAY()&lt;0,"🚨 OVERDUE",IF(INDEX('⚡ COMMAND TRACKER'!$AC$5:$AC$204,IFERROR(MATCH(SMALL(IF('⚡ COMMAND TRACKER'!$AC$5:$AC$204&lt;="",9999999,'⚡ COMMAND TRACKER'!$AC$5:$AC$204),80),'⚡ COMMAND TRACKER'!$AC$5:$AC$204,0),""))-TODAY()&lt;=1,"🔔 DUE NOW","📋 UPCOMING")),"")</f>
        <v/>
      </c>
      <c r="B83" s="10" t="str">
        <f aca="false">IFERROR(INDEX('⚡ COMMAND TRACKER'!$A$5:$A$204,IFERROR(MATCH(SMALL(IF('⚡ COMMAND TRACKER'!$AC$5:$AC$204&lt;="",9999999,'⚡ COMMAND TRACKER'!$AC$5:$AC$204),80),'⚡ COMMAND TRACKER'!$AC$5:$AC$204,0),"")),"")</f>
        <v/>
      </c>
      <c r="C83" s="10" t="str">
        <f aca="false">IFERROR(INDEX('⚡ COMMAND TRACKER'!$E$5:$E$204,IFERROR(MATCH(SMALL(IF('⚡ COMMAND TRACKER'!$AC$5:$AC$204&lt;="",9999999,'⚡ COMMAND TRACKER'!$AC$5:$AC$204),80),'⚡ COMMAND TRACKER'!$AC$5:$AC$204,0),"")),"")</f>
        <v/>
      </c>
      <c r="D83" s="30" t="str">
        <f aca="false">IFERROR(INDEX('⚡ COMMAND TRACKER'!$B$5:$B$204,IFERROR(MATCH(SMALL(IF('⚡ COMMAND TRACKER'!$AC$5:$AC$204&lt;="",9999999,'⚡ COMMAND TRACKER'!$AC$5:$AC$204),80),'⚡ COMMAND TRACKER'!$AC$5:$AC$204,0),"")),"")</f>
        <v/>
      </c>
      <c r="E83" s="35" t="str">
        <f aca="false">IFERROR(INDEX('⚡ COMMAND TRACKER'!$Y$5:$Y$204,IFERROR(MATCH(SMALL(IF('⚡ COMMAND TRACKER'!$AC$5:$AC$204&lt;="",9999999,'⚡ COMMAND TRACKER'!$AC$5:$AC$204),80),'⚡ COMMAND TRACKER'!$AC$5:$AC$204,0),"")),"")</f>
        <v/>
      </c>
      <c r="F83" s="11" t="str">
        <f aca="false">IFERROR(INDEX('⚡ COMMAND TRACKER'!$Z$5:$Z$204,IFERROR(MATCH(SMALL(IF('⚡ COMMAND TRACKER'!$AC$5:$AC$204&lt;="",9999999,'⚡ COMMAND TRACKER'!$AC$5:$AC$204),80),'⚡ COMMAND TRACKER'!$AC$5:$AC$204,0),"")),"")</f>
        <v/>
      </c>
      <c r="G83" s="11" t="str">
        <f aca="false">IFERROR(INDEX('⚡ COMMAND TRACKER'!$U$5:$U$204,IFERROR(MATCH(SMALL(IF('⚡ COMMAND TRACKER'!$AC$5:$AC$204&lt;="",9999999,'⚡ COMMAND TRACKER'!$AC$5:$AC$204),80),'⚡ COMMAND TRACKER'!$AC$5:$AC$204,0),"")),"")</f>
        <v/>
      </c>
      <c r="H83" s="10" t="str">
        <f aca="false">IFERROR(INDEX('⚡ COMMAND TRACKER'!$X$5:$X$204,IFERROR(MATCH(SMALL(IF('⚡ COMMAND TRACKER'!$AC$5:$AC$204&lt;="",9999999,'⚡ COMMAND TRACKER'!$AC$5:$AC$204),80),'⚡ COMMAND TRACKER'!$AC$5:$AC$204,0),"")),"")</f>
        <v/>
      </c>
      <c r="I83" s="14" t="str">
        <f aca="false">IFERROR(INDEX('⚡ COMMAND TRACKER'!$AB$5:$AB$204,IFERROR(MATCH(SMALL(IF('⚡ COMMAND TRACKER'!$AC$5:$AC$204&lt;="",9999999,'⚡ COMMAND TRACKER'!$AC$5:$AC$204),80),'⚡ COMMAND TRACKER'!$AC$5:$AC$204,0),"")),"")</f>
        <v/>
      </c>
      <c r="J83" s="14" t="str">
        <f aca="false">IFERROR(INDEX('⚡ COMMAND TRACKER'!$AC$5:$AC$204,IFERROR(MATCH(SMALL(IF('⚡ COMMAND TRACKER'!$AC$5:$AC$204&lt;="",9999999,'⚡ COMMAND TRACKER'!$AC$5:$AC$204),80),'⚡ COMMAND TRACKER'!$AC$5:$AC$204,0),"")),"")</f>
        <v/>
      </c>
      <c r="K83" s="16" t="str">
        <f aca="true">IFERROR(IF(J83="","",TODAY()-J83),"")</f>
        <v/>
      </c>
    </row>
    <row r="84" customFormat="false" ht="19.5" hidden="false" customHeight="true" outlineLevel="0" collapsed="false">
      <c r="A84" s="18" t="str">
        <f aca="true">IFERROR(IF(INDEX('⚡ COMMAND TRACKER'!$AC$5:$AC$204,IFERROR(MATCH(SMALL(IF('⚡ COMMAND TRACKER'!$AC$5:$AC$204&lt;="",9999999,'⚡ COMMAND TRACKER'!$AC$5:$AC$204),81),'⚡ COMMAND TRACKER'!$AC$5:$AC$204,0),""))-TODAY()&lt;0,"🚨 OVERDUE",IF(INDEX('⚡ COMMAND TRACKER'!$AC$5:$AC$204,IFERROR(MATCH(SMALL(IF('⚡ COMMAND TRACKER'!$AC$5:$AC$204&lt;="",9999999,'⚡ COMMAND TRACKER'!$AC$5:$AC$204),81),'⚡ COMMAND TRACKER'!$AC$5:$AC$204,0),""))-TODAY()&lt;=1,"🔔 DUE NOW","📋 UPCOMING")),"")</f>
        <v/>
      </c>
      <c r="B84" s="17" t="str">
        <f aca="false">IFERROR(INDEX('⚡ COMMAND TRACKER'!$A$5:$A$204,IFERROR(MATCH(SMALL(IF('⚡ COMMAND TRACKER'!$AC$5:$AC$204&lt;="",9999999,'⚡ COMMAND TRACKER'!$AC$5:$AC$204),81),'⚡ COMMAND TRACKER'!$AC$5:$AC$204,0),"")),"")</f>
        <v/>
      </c>
      <c r="C84" s="17" t="str">
        <f aca="false">IFERROR(INDEX('⚡ COMMAND TRACKER'!$E$5:$E$204,IFERROR(MATCH(SMALL(IF('⚡ COMMAND TRACKER'!$AC$5:$AC$204&lt;="",9999999,'⚡ COMMAND TRACKER'!$AC$5:$AC$204),81),'⚡ COMMAND TRACKER'!$AC$5:$AC$204,0),"")),"")</f>
        <v/>
      </c>
      <c r="D84" s="27" t="str">
        <f aca="false">IFERROR(INDEX('⚡ COMMAND TRACKER'!$B$5:$B$204,IFERROR(MATCH(SMALL(IF('⚡ COMMAND TRACKER'!$AC$5:$AC$204&lt;="",9999999,'⚡ COMMAND TRACKER'!$AC$5:$AC$204),81),'⚡ COMMAND TRACKER'!$AC$5:$AC$204,0),"")),"")</f>
        <v/>
      </c>
      <c r="E84" s="34" t="str">
        <f aca="false">IFERROR(INDEX('⚡ COMMAND TRACKER'!$Y$5:$Y$204,IFERROR(MATCH(SMALL(IF('⚡ COMMAND TRACKER'!$AC$5:$AC$204&lt;="",9999999,'⚡ COMMAND TRACKER'!$AC$5:$AC$204),81),'⚡ COMMAND TRACKER'!$AC$5:$AC$204,0),"")),"")</f>
        <v/>
      </c>
      <c r="F84" s="18" t="str">
        <f aca="false">IFERROR(INDEX('⚡ COMMAND TRACKER'!$Z$5:$Z$204,IFERROR(MATCH(SMALL(IF('⚡ COMMAND TRACKER'!$AC$5:$AC$204&lt;="",9999999,'⚡ COMMAND TRACKER'!$AC$5:$AC$204),81),'⚡ COMMAND TRACKER'!$AC$5:$AC$204,0),"")),"")</f>
        <v/>
      </c>
      <c r="G84" s="18" t="str">
        <f aca="false">IFERROR(INDEX('⚡ COMMAND TRACKER'!$U$5:$U$204,IFERROR(MATCH(SMALL(IF('⚡ COMMAND TRACKER'!$AC$5:$AC$204&lt;="",9999999,'⚡ COMMAND TRACKER'!$AC$5:$AC$204),81),'⚡ COMMAND TRACKER'!$AC$5:$AC$204,0),"")),"")</f>
        <v/>
      </c>
      <c r="H84" s="17" t="str">
        <f aca="false">IFERROR(INDEX('⚡ COMMAND TRACKER'!$X$5:$X$204,IFERROR(MATCH(SMALL(IF('⚡ COMMAND TRACKER'!$AC$5:$AC$204&lt;="",9999999,'⚡ COMMAND TRACKER'!$AC$5:$AC$204),81),'⚡ COMMAND TRACKER'!$AC$5:$AC$204,0),"")),"")</f>
        <v/>
      </c>
      <c r="I84" s="21" t="str">
        <f aca="false">IFERROR(INDEX('⚡ COMMAND TRACKER'!$AB$5:$AB$204,IFERROR(MATCH(SMALL(IF('⚡ COMMAND TRACKER'!$AC$5:$AC$204&lt;="",9999999,'⚡ COMMAND TRACKER'!$AC$5:$AC$204),81),'⚡ COMMAND TRACKER'!$AC$5:$AC$204,0),"")),"")</f>
        <v/>
      </c>
      <c r="J84" s="21" t="str">
        <f aca="false">IFERROR(INDEX('⚡ COMMAND TRACKER'!$AC$5:$AC$204,IFERROR(MATCH(SMALL(IF('⚡ COMMAND TRACKER'!$AC$5:$AC$204&lt;="",9999999,'⚡ COMMAND TRACKER'!$AC$5:$AC$204),81),'⚡ COMMAND TRACKER'!$AC$5:$AC$204,0),"")),"")</f>
        <v/>
      </c>
      <c r="K84" s="23" t="str">
        <f aca="true">IFERROR(IF(J84="","",TODAY()-J84),"")</f>
        <v/>
      </c>
    </row>
    <row r="85" customFormat="false" ht="19.5" hidden="false" customHeight="true" outlineLevel="0" collapsed="false">
      <c r="A85" s="11" t="str">
        <f aca="true">IFERROR(IF(INDEX('⚡ COMMAND TRACKER'!$AC$5:$AC$204,IFERROR(MATCH(SMALL(IF('⚡ COMMAND TRACKER'!$AC$5:$AC$204&lt;="",9999999,'⚡ COMMAND TRACKER'!$AC$5:$AC$204),82),'⚡ COMMAND TRACKER'!$AC$5:$AC$204,0),""))-TODAY()&lt;0,"🚨 OVERDUE",IF(INDEX('⚡ COMMAND TRACKER'!$AC$5:$AC$204,IFERROR(MATCH(SMALL(IF('⚡ COMMAND TRACKER'!$AC$5:$AC$204&lt;="",9999999,'⚡ COMMAND TRACKER'!$AC$5:$AC$204),82),'⚡ COMMAND TRACKER'!$AC$5:$AC$204,0),""))-TODAY()&lt;=1,"🔔 DUE NOW","📋 UPCOMING")),"")</f>
        <v/>
      </c>
      <c r="B85" s="10" t="str">
        <f aca="false">IFERROR(INDEX('⚡ COMMAND TRACKER'!$A$5:$A$204,IFERROR(MATCH(SMALL(IF('⚡ COMMAND TRACKER'!$AC$5:$AC$204&lt;="",9999999,'⚡ COMMAND TRACKER'!$AC$5:$AC$204),82),'⚡ COMMAND TRACKER'!$AC$5:$AC$204,0),"")),"")</f>
        <v/>
      </c>
      <c r="C85" s="10" t="str">
        <f aca="false">IFERROR(INDEX('⚡ COMMAND TRACKER'!$E$5:$E$204,IFERROR(MATCH(SMALL(IF('⚡ COMMAND TRACKER'!$AC$5:$AC$204&lt;="",9999999,'⚡ COMMAND TRACKER'!$AC$5:$AC$204),82),'⚡ COMMAND TRACKER'!$AC$5:$AC$204,0),"")),"")</f>
        <v/>
      </c>
      <c r="D85" s="30" t="str">
        <f aca="false">IFERROR(INDEX('⚡ COMMAND TRACKER'!$B$5:$B$204,IFERROR(MATCH(SMALL(IF('⚡ COMMAND TRACKER'!$AC$5:$AC$204&lt;="",9999999,'⚡ COMMAND TRACKER'!$AC$5:$AC$204),82),'⚡ COMMAND TRACKER'!$AC$5:$AC$204,0),"")),"")</f>
        <v/>
      </c>
      <c r="E85" s="35" t="str">
        <f aca="false">IFERROR(INDEX('⚡ COMMAND TRACKER'!$Y$5:$Y$204,IFERROR(MATCH(SMALL(IF('⚡ COMMAND TRACKER'!$AC$5:$AC$204&lt;="",9999999,'⚡ COMMAND TRACKER'!$AC$5:$AC$204),82),'⚡ COMMAND TRACKER'!$AC$5:$AC$204,0),"")),"")</f>
        <v/>
      </c>
      <c r="F85" s="11" t="str">
        <f aca="false">IFERROR(INDEX('⚡ COMMAND TRACKER'!$Z$5:$Z$204,IFERROR(MATCH(SMALL(IF('⚡ COMMAND TRACKER'!$AC$5:$AC$204&lt;="",9999999,'⚡ COMMAND TRACKER'!$AC$5:$AC$204),82),'⚡ COMMAND TRACKER'!$AC$5:$AC$204,0),"")),"")</f>
        <v/>
      </c>
      <c r="G85" s="11" t="str">
        <f aca="false">IFERROR(INDEX('⚡ COMMAND TRACKER'!$U$5:$U$204,IFERROR(MATCH(SMALL(IF('⚡ COMMAND TRACKER'!$AC$5:$AC$204&lt;="",9999999,'⚡ COMMAND TRACKER'!$AC$5:$AC$204),82),'⚡ COMMAND TRACKER'!$AC$5:$AC$204,0),"")),"")</f>
        <v/>
      </c>
      <c r="H85" s="10" t="str">
        <f aca="false">IFERROR(INDEX('⚡ COMMAND TRACKER'!$X$5:$X$204,IFERROR(MATCH(SMALL(IF('⚡ COMMAND TRACKER'!$AC$5:$AC$204&lt;="",9999999,'⚡ COMMAND TRACKER'!$AC$5:$AC$204),82),'⚡ COMMAND TRACKER'!$AC$5:$AC$204,0),"")),"")</f>
        <v/>
      </c>
      <c r="I85" s="14" t="str">
        <f aca="false">IFERROR(INDEX('⚡ COMMAND TRACKER'!$AB$5:$AB$204,IFERROR(MATCH(SMALL(IF('⚡ COMMAND TRACKER'!$AC$5:$AC$204&lt;="",9999999,'⚡ COMMAND TRACKER'!$AC$5:$AC$204),82),'⚡ COMMAND TRACKER'!$AC$5:$AC$204,0),"")),"")</f>
        <v/>
      </c>
      <c r="J85" s="14" t="str">
        <f aca="false">IFERROR(INDEX('⚡ COMMAND TRACKER'!$AC$5:$AC$204,IFERROR(MATCH(SMALL(IF('⚡ COMMAND TRACKER'!$AC$5:$AC$204&lt;="",9999999,'⚡ COMMAND TRACKER'!$AC$5:$AC$204),82),'⚡ COMMAND TRACKER'!$AC$5:$AC$204,0),"")),"")</f>
        <v/>
      </c>
      <c r="K85" s="16" t="str">
        <f aca="true">IFERROR(IF(J85="","",TODAY()-J85),"")</f>
        <v/>
      </c>
    </row>
    <row r="86" customFormat="false" ht="19.5" hidden="false" customHeight="true" outlineLevel="0" collapsed="false">
      <c r="A86" s="18" t="str">
        <f aca="true">IFERROR(IF(INDEX('⚡ COMMAND TRACKER'!$AC$5:$AC$204,IFERROR(MATCH(SMALL(IF('⚡ COMMAND TRACKER'!$AC$5:$AC$204&lt;="",9999999,'⚡ COMMAND TRACKER'!$AC$5:$AC$204),83),'⚡ COMMAND TRACKER'!$AC$5:$AC$204,0),""))-TODAY()&lt;0,"🚨 OVERDUE",IF(INDEX('⚡ COMMAND TRACKER'!$AC$5:$AC$204,IFERROR(MATCH(SMALL(IF('⚡ COMMAND TRACKER'!$AC$5:$AC$204&lt;="",9999999,'⚡ COMMAND TRACKER'!$AC$5:$AC$204),83),'⚡ COMMAND TRACKER'!$AC$5:$AC$204,0),""))-TODAY()&lt;=1,"🔔 DUE NOW","📋 UPCOMING")),"")</f>
        <v/>
      </c>
      <c r="B86" s="17" t="str">
        <f aca="false">IFERROR(INDEX('⚡ COMMAND TRACKER'!$A$5:$A$204,IFERROR(MATCH(SMALL(IF('⚡ COMMAND TRACKER'!$AC$5:$AC$204&lt;="",9999999,'⚡ COMMAND TRACKER'!$AC$5:$AC$204),83),'⚡ COMMAND TRACKER'!$AC$5:$AC$204,0),"")),"")</f>
        <v/>
      </c>
      <c r="C86" s="17" t="str">
        <f aca="false">IFERROR(INDEX('⚡ COMMAND TRACKER'!$E$5:$E$204,IFERROR(MATCH(SMALL(IF('⚡ COMMAND TRACKER'!$AC$5:$AC$204&lt;="",9999999,'⚡ COMMAND TRACKER'!$AC$5:$AC$204),83),'⚡ COMMAND TRACKER'!$AC$5:$AC$204,0),"")),"")</f>
        <v/>
      </c>
      <c r="D86" s="27" t="str">
        <f aca="false">IFERROR(INDEX('⚡ COMMAND TRACKER'!$B$5:$B$204,IFERROR(MATCH(SMALL(IF('⚡ COMMAND TRACKER'!$AC$5:$AC$204&lt;="",9999999,'⚡ COMMAND TRACKER'!$AC$5:$AC$204),83),'⚡ COMMAND TRACKER'!$AC$5:$AC$204,0),"")),"")</f>
        <v/>
      </c>
      <c r="E86" s="34" t="str">
        <f aca="false">IFERROR(INDEX('⚡ COMMAND TRACKER'!$Y$5:$Y$204,IFERROR(MATCH(SMALL(IF('⚡ COMMAND TRACKER'!$AC$5:$AC$204&lt;="",9999999,'⚡ COMMAND TRACKER'!$AC$5:$AC$204),83),'⚡ COMMAND TRACKER'!$AC$5:$AC$204,0),"")),"")</f>
        <v/>
      </c>
      <c r="F86" s="18" t="str">
        <f aca="false">IFERROR(INDEX('⚡ COMMAND TRACKER'!$Z$5:$Z$204,IFERROR(MATCH(SMALL(IF('⚡ COMMAND TRACKER'!$AC$5:$AC$204&lt;="",9999999,'⚡ COMMAND TRACKER'!$AC$5:$AC$204),83),'⚡ COMMAND TRACKER'!$AC$5:$AC$204,0),"")),"")</f>
        <v/>
      </c>
      <c r="G86" s="18" t="str">
        <f aca="false">IFERROR(INDEX('⚡ COMMAND TRACKER'!$U$5:$U$204,IFERROR(MATCH(SMALL(IF('⚡ COMMAND TRACKER'!$AC$5:$AC$204&lt;="",9999999,'⚡ COMMAND TRACKER'!$AC$5:$AC$204),83),'⚡ COMMAND TRACKER'!$AC$5:$AC$204,0),"")),"")</f>
        <v/>
      </c>
      <c r="H86" s="17" t="str">
        <f aca="false">IFERROR(INDEX('⚡ COMMAND TRACKER'!$X$5:$X$204,IFERROR(MATCH(SMALL(IF('⚡ COMMAND TRACKER'!$AC$5:$AC$204&lt;="",9999999,'⚡ COMMAND TRACKER'!$AC$5:$AC$204),83),'⚡ COMMAND TRACKER'!$AC$5:$AC$204,0),"")),"")</f>
        <v/>
      </c>
      <c r="I86" s="21" t="str">
        <f aca="false">IFERROR(INDEX('⚡ COMMAND TRACKER'!$AB$5:$AB$204,IFERROR(MATCH(SMALL(IF('⚡ COMMAND TRACKER'!$AC$5:$AC$204&lt;="",9999999,'⚡ COMMAND TRACKER'!$AC$5:$AC$204),83),'⚡ COMMAND TRACKER'!$AC$5:$AC$204,0),"")),"")</f>
        <v/>
      </c>
      <c r="J86" s="21" t="str">
        <f aca="false">IFERROR(INDEX('⚡ COMMAND TRACKER'!$AC$5:$AC$204,IFERROR(MATCH(SMALL(IF('⚡ COMMAND TRACKER'!$AC$5:$AC$204&lt;="",9999999,'⚡ COMMAND TRACKER'!$AC$5:$AC$204),83),'⚡ COMMAND TRACKER'!$AC$5:$AC$204,0),"")),"")</f>
        <v/>
      </c>
      <c r="K86" s="23" t="str">
        <f aca="true">IFERROR(IF(J86="","",TODAY()-J86),"")</f>
        <v/>
      </c>
    </row>
    <row r="87" customFormat="false" ht="19.5" hidden="false" customHeight="true" outlineLevel="0" collapsed="false">
      <c r="A87" s="11" t="str">
        <f aca="true">IFERROR(IF(INDEX('⚡ COMMAND TRACKER'!$AC$5:$AC$204,IFERROR(MATCH(SMALL(IF('⚡ COMMAND TRACKER'!$AC$5:$AC$204&lt;="",9999999,'⚡ COMMAND TRACKER'!$AC$5:$AC$204),84),'⚡ COMMAND TRACKER'!$AC$5:$AC$204,0),""))-TODAY()&lt;0,"🚨 OVERDUE",IF(INDEX('⚡ COMMAND TRACKER'!$AC$5:$AC$204,IFERROR(MATCH(SMALL(IF('⚡ COMMAND TRACKER'!$AC$5:$AC$204&lt;="",9999999,'⚡ COMMAND TRACKER'!$AC$5:$AC$204),84),'⚡ COMMAND TRACKER'!$AC$5:$AC$204,0),""))-TODAY()&lt;=1,"🔔 DUE NOW","📋 UPCOMING")),"")</f>
        <v/>
      </c>
      <c r="B87" s="10" t="str">
        <f aca="false">IFERROR(INDEX('⚡ COMMAND TRACKER'!$A$5:$A$204,IFERROR(MATCH(SMALL(IF('⚡ COMMAND TRACKER'!$AC$5:$AC$204&lt;="",9999999,'⚡ COMMAND TRACKER'!$AC$5:$AC$204),84),'⚡ COMMAND TRACKER'!$AC$5:$AC$204,0),"")),"")</f>
        <v/>
      </c>
      <c r="C87" s="10" t="str">
        <f aca="false">IFERROR(INDEX('⚡ COMMAND TRACKER'!$E$5:$E$204,IFERROR(MATCH(SMALL(IF('⚡ COMMAND TRACKER'!$AC$5:$AC$204&lt;="",9999999,'⚡ COMMAND TRACKER'!$AC$5:$AC$204),84),'⚡ COMMAND TRACKER'!$AC$5:$AC$204,0),"")),"")</f>
        <v/>
      </c>
      <c r="D87" s="30" t="str">
        <f aca="false">IFERROR(INDEX('⚡ COMMAND TRACKER'!$B$5:$B$204,IFERROR(MATCH(SMALL(IF('⚡ COMMAND TRACKER'!$AC$5:$AC$204&lt;="",9999999,'⚡ COMMAND TRACKER'!$AC$5:$AC$204),84),'⚡ COMMAND TRACKER'!$AC$5:$AC$204,0),"")),"")</f>
        <v/>
      </c>
      <c r="E87" s="35" t="str">
        <f aca="false">IFERROR(INDEX('⚡ COMMAND TRACKER'!$Y$5:$Y$204,IFERROR(MATCH(SMALL(IF('⚡ COMMAND TRACKER'!$AC$5:$AC$204&lt;="",9999999,'⚡ COMMAND TRACKER'!$AC$5:$AC$204),84),'⚡ COMMAND TRACKER'!$AC$5:$AC$204,0),"")),"")</f>
        <v/>
      </c>
      <c r="F87" s="11" t="str">
        <f aca="false">IFERROR(INDEX('⚡ COMMAND TRACKER'!$Z$5:$Z$204,IFERROR(MATCH(SMALL(IF('⚡ COMMAND TRACKER'!$AC$5:$AC$204&lt;="",9999999,'⚡ COMMAND TRACKER'!$AC$5:$AC$204),84),'⚡ COMMAND TRACKER'!$AC$5:$AC$204,0),"")),"")</f>
        <v/>
      </c>
      <c r="G87" s="11" t="str">
        <f aca="false">IFERROR(INDEX('⚡ COMMAND TRACKER'!$U$5:$U$204,IFERROR(MATCH(SMALL(IF('⚡ COMMAND TRACKER'!$AC$5:$AC$204&lt;="",9999999,'⚡ COMMAND TRACKER'!$AC$5:$AC$204),84),'⚡ COMMAND TRACKER'!$AC$5:$AC$204,0),"")),"")</f>
        <v/>
      </c>
      <c r="H87" s="10" t="str">
        <f aca="false">IFERROR(INDEX('⚡ COMMAND TRACKER'!$X$5:$X$204,IFERROR(MATCH(SMALL(IF('⚡ COMMAND TRACKER'!$AC$5:$AC$204&lt;="",9999999,'⚡ COMMAND TRACKER'!$AC$5:$AC$204),84),'⚡ COMMAND TRACKER'!$AC$5:$AC$204,0),"")),"")</f>
        <v/>
      </c>
      <c r="I87" s="14" t="str">
        <f aca="false">IFERROR(INDEX('⚡ COMMAND TRACKER'!$AB$5:$AB$204,IFERROR(MATCH(SMALL(IF('⚡ COMMAND TRACKER'!$AC$5:$AC$204&lt;="",9999999,'⚡ COMMAND TRACKER'!$AC$5:$AC$204),84),'⚡ COMMAND TRACKER'!$AC$5:$AC$204,0),"")),"")</f>
        <v/>
      </c>
      <c r="J87" s="14" t="str">
        <f aca="false">IFERROR(INDEX('⚡ COMMAND TRACKER'!$AC$5:$AC$204,IFERROR(MATCH(SMALL(IF('⚡ COMMAND TRACKER'!$AC$5:$AC$204&lt;="",9999999,'⚡ COMMAND TRACKER'!$AC$5:$AC$204),84),'⚡ COMMAND TRACKER'!$AC$5:$AC$204,0),"")),"")</f>
        <v/>
      </c>
      <c r="K87" s="16" t="str">
        <f aca="true">IFERROR(IF(J87="","",TODAY()-J87),"")</f>
        <v/>
      </c>
    </row>
    <row r="88" customFormat="false" ht="19.5" hidden="false" customHeight="true" outlineLevel="0" collapsed="false">
      <c r="A88" s="18" t="str">
        <f aca="true">IFERROR(IF(INDEX('⚡ COMMAND TRACKER'!$AC$5:$AC$204,IFERROR(MATCH(SMALL(IF('⚡ COMMAND TRACKER'!$AC$5:$AC$204&lt;="",9999999,'⚡ COMMAND TRACKER'!$AC$5:$AC$204),85),'⚡ COMMAND TRACKER'!$AC$5:$AC$204,0),""))-TODAY()&lt;0,"🚨 OVERDUE",IF(INDEX('⚡ COMMAND TRACKER'!$AC$5:$AC$204,IFERROR(MATCH(SMALL(IF('⚡ COMMAND TRACKER'!$AC$5:$AC$204&lt;="",9999999,'⚡ COMMAND TRACKER'!$AC$5:$AC$204),85),'⚡ COMMAND TRACKER'!$AC$5:$AC$204,0),""))-TODAY()&lt;=1,"🔔 DUE NOW","📋 UPCOMING")),"")</f>
        <v/>
      </c>
      <c r="B88" s="17" t="str">
        <f aca="false">IFERROR(INDEX('⚡ COMMAND TRACKER'!$A$5:$A$204,IFERROR(MATCH(SMALL(IF('⚡ COMMAND TRACKER'!$AC$5:$AC$204&lt;="",9999999,'⚡ COMMAND TRACKER'!$AC$5:$AC$204),85),'⚡ COMMAND TRACKER'!$AC$5:$AC$204,0),"")),"")</f>
        <v/>
      </c>
      <c r="C88" s="17" t="str">
        <f aca="false">IFERROR(INDEX('⚡ COMMAND TRACKER'!$E$5:$E$204,IFERROR(MATCH(SMALL(IF('⚡ COMMAND TRACKER'!$AC$5:$AC$204&lt;="",9999999,'⚡ COMMAND TRACKER'!$AC$5:$AC$204),85),'⚡ COMMAND TRACKER'!$AC$5:$AC$204,0),"")),"")</f>
        <v/>
      </c>
      <c r="D88" s="27" t="str">
        <f aca="false">IFERROR(INDEX('⚡ COMMAND TRACKER'!$B$5:$B$204,IFERROR(MATCH(SMALL(IF('⚡ COMMAND TRACKER'!$AC$5:$AC$204&lt;="",9999999,'⚡ COMMAND TRACKER'!$AC$5:$AC$204),85),'⚡ COMMAND TRACKER'!$AC$5:$AC$204,0),"")),"")</f>
        <v/>
      </c>
      <c r="E88" s="34" t="str">
        <f aca="false">IFERROR(INDEX('⚡ COMMAND TRACKER'!$Y$5:$Y$204,IFERROR(MATCH(SMALL(IF('⚡ COMMAND TRACKER'!$AC$5:$AC$204&lt;="",9999999,'⚡ COMMAND TRACKER'!$AC$5:$AC$204),85),'⚡ COMMAND TRACKER'!$AC$5:$AC$204,0),"")),"")</f>
        <v/>
      </c>
      <c r="F88" s="18" t="str">
        <f aca="false">IFERROR(INDEX('⚡ COMMAND TRACKER'!$Z$5:$Z$204,IFERROR(MATCH(SMALL(IF('⚡ COMMAND TRACKER'!$AC$5:$AC$204&lt;="",9999999,'⚡ COMMAND TRACKER'!$AC$5:$AC$204),85),'⚡ COMMAND TRACKER'!$AC$5:$AC$204,0),"")),"")</f>
        <v/>
      </c>
      <c r="G88" s="18" t="str">
        <f aca="false">IFERROR(INDEX('⚡ COMMAND TRACKER'!$U$5:$U$204,IFERROR(MATCH(SMALL(IF('⚡ COMMAND TRACKER'!$AC$5:$AC$204&lt;="",9999999,'⚡ COMMAND TRACKER'!$AC$5:$AC$204),85),'⚡ COMMAND TRACKER'!$AC$5:$AC$204,0),"")),"")</f>
        <v/>
      </c>
      <c r="H88" s="17" t="str">
        <f aca="false">IFERROR(INDEX('⚡ COMMAND TRACKER'!$X$5:$X$204,IFERROR(MATCH(SMALL(IF('⚡ COMMAND TRACKER'!$AC$5:$AC$204&lt;="",9999999,'⚡ COMMAND TRACKER'!$AC$5:$AC$204),85),'⚡ COMMAND TRACKER'!$AC$5:$AC$204,0),"")),"")</f>
        <v/>
      </c>
      <c r="I88" s="21" t="str">
        <f aca="false">IFERROR(INDEX('⚡ COMMAND TRACKER'!$AB$5:$AB$204,IFERROR(MATCH(SMALL(IF('⚡ COMMAND TRACKER'!$AC$5:$AC$204&lt;="",9999999,'⚡ COMMAND TRACKER'!$AC$5:$AC$204),85),'⚡ COMMAND TRACKER'!$AC$5:$AC$204,0),"")),"")</f>
        <v/>
      </c>
      <c r="J88" s="21" t="str">
        <f aca="false">IFERROR(INDEX('⚡ COMMAND TRACKER'!$AC$5:$AC$204,IFERROR(MATCH(SMALL(IF('⚡ COMMAND TRACKER'!$AC$5:$AC$204&lt;="",9999999,'⚡ COMMAND TRACKER'!$AC$5:$AC$204),85),'⚡ COMMAND TRACKER'!$AC$5:$AC$204,0),"")),"")</f>
        <v/>
      </c>
      <c r="K88" s="23" t="str">
        <f aca="true">IFERROR(IF(J88="","",TODAY()-J88),"")</f>
        <v/>
      </c>
    </row>
    <row r="89" customFormat="false" ht="19.5" hidden="false" customHeight="true" outlineLevel="0" collapsed="false">
      <c r="A89" s="11" t="str">
        <f aca="true">IFERROR(IF(INDEX('⚡ COMMAND TRACKER'!$AC$5:$AC$204,IFERROR(MATCH(SMALL(IF('⚡ COMMAND TRACKER'!$AC$5:$AC$204&lt;="",9999999,'⚡ COMMAND TRACKER'!$AC$5:$AC$204),86),'⚡ COMMAND TRACKER'!$AC$5:$AC$204,0),""))-TODAY()&lt;0,"🚨 OVERDUE",IF(INDEX('⚡ COMMAND TRACKER'!$AC$5:$AC$204,IFERROR(MATCH(SMALL(IF('⚡ COMMAND TRACKER'!$AC$5:$AC$204&lt;="",9999999,'⚡ COMMAND TRACKER'!$AC$5:$AC$204),86),'⚡ COMMAND TRACKER'!$AC$5:$AC$204,0),""))-TODAY()&lt;=1,"🔔 DUE NOW","📋 UPCOMING")),"")</f>
        <v/>
      </c>
      <c r="B89" s="10" t="str">
        <f aca="false">IFERROR(INDEX('⚡ COMMAND TRACKER'!$A$5:$A$204,IFERROR(MATCH(SMALL(IF('⚡ COMMAND TRACKER'!$AC$5:$AC$204&lt;="",9999999,'⚡ COMMAND TRACKER'!$AC$5:$AC$204),86),'⚡ COMMAND TRACKER'!$AC$5:$AC$204,0),"")),"")</f>
        <v/>
      </c>
      <c r="C89" s="10" t="str">
        <f aca="false">IFERROR(INDEX('⚡ COMMAND TRACKER'!$E$5:$E$204,IFERROR(MATCH(SMALL(IF('⚡ COMMAND TRACKER'!$AC$5:$AC$204&lt;="",9999999,'⚡ COMMAND TRACKER'!$AC$5:$AC$204),86),'⚡ COMMAND TRACKER'!$AC$5:$AC$204,0),"")),"")</f>
        <v/>
      </c>
      <c r="D89" s="30" t="str">
        <f aca="false">IFERROR(INDEX('⚡ COMMAND TRACKER'!$B$5:$B$204,IFERROR(MATCH(SMALL(IF('⚡ COMMAND TRACKER'!$AC$5:$AC$204&lt;="",9999999,'⚡ COMMAND TRACKER'!$AC$5:$AC$204),86),'⚡ COMMAND TRACKER'!$AC$5:$AC$204,0),"")),"")</f>
        <v/>
      </c>
      <c r="E89" s="35" t="str">
        <f aca="false">IFERROR(INDEX('⚡ COMMAND TRACKER'!$Y$5:$Y$204,IFERROR(MATCH(SMALL(IF('⚡ COMMAND TRACKER'!$AC$5:$AC$204&lt;="",9999999,'⚡ COMMAND TRACKER'!$AC$5:$AC$204),86),'⚡ COMMAND TRACKER'!$AC$5:$AC$204,0),"")),"")</f>
        <v/>
      </c>
      <c r="F89" s="11" t="str">
        <f aca="false">IFERROR(INDEX('⚡ COMMAND TRACKER'!$Z$5:$Z$204,IFERROR(MATCH(SMALL(IF('⚡ COMMAND TRACKER'!$AC$5:$AC$204&lt;="",9999999,'⚡ COMMAND TRACKER'!$AC$5:$AC$204),86),'⚡ COMMAND TRACKER'!$AC$5:$AC$204,0),"")),"")</f>
        <v/>
      </c>
      <c r="G89" s="11" t="str">
        <f aca="false">IFERROR(INDEX('⚡ COMMAND TRACKER'!$U$5:$U$204,IFERROR(MATCH(SMALL(IF('⚡ COMMAND TRACKER'!$AC$5:$AC$204&lt;="",9999999,'⚡ COMMAND TRACKER'!$AC$5:$AC$204),86),'⚡ COMMAND TRACKER'!$AC$5:$AC$204,0),"")),"")</f>
        <v/>
      </c>
      <c r="H89" s="10" t="str">
        <f aca="false">IFERROR(INDEX('⚡ COMMAND TRACKER'!$X$5:$X$204,IFERROR(MATCH(SMALL(IF('⚡ COMMAND TRACKER'!$AC$5:$AC$204&lt;="",9999999,'⚡ COMMAND TRACKER'!$AC$5:$AC$204),86),'⚡ COMMAND TRACKER'!$AC$5:$AC$204,0),"")),"")</f>
        <v/>
      </c>
      <c r="I89" s="14" t="str">
        <f aca="false">IFERROR(INDEX('⚡ COMMAND TRACKER'!$AB$5:$AB$204,IFERROR(MATCH(SMALL(IF('⚡ COMMAND TRACKER'!$AC$5:$AC$204&lt;="",9999999,'⚡ COMMAND TRACKER'!$AC$5:$AC$204),86),'⚡ COMMAND TRACKER'!$AC$5:$AC$204,0),"")),"")</f>
        <v/>
      </c>
      <c r="J89" s="14" t="str">
        <f aca="false">IFERROR(INDEX('⚡ COMMAND TRACKER'!$AC$5:$AC$204,IFERROR(MATCH(SMALL(IF('⚡ COMMAND TRACKER'!$AC$5:$AC$204&lt;="",9999999,'⚡ COMMAND TRACKER'!$AC$5:$AC$204),86),'⚡ COMMAND TRACKER'!$AC$5:$AC$204,0),"")),"")</f>
        <v/>
      </c>
      <c r="K89" s="16" t="str">
        <f aca="true">IFERROR(IF(J89="","",TODAY()-J89),"")</f>
        <v/>
      </c>
    </row>
    <row r="90" customFormat="false" ht="19.5" hidden="false" customHeight="true" outlineLevel="0" collapsed="false">
      <c r="A90" s="18" t="str">
        <f aca="true">IFERROR(IF(INDEX('⚡ COMMAND TRACKER'!$AC$5:$AC$204,IFERROR(MATCH(SMALL(IF('⚡ COMMAND TRACKER'!$AC$5:$AC$204&lt;="",9999999,'⚡ COMMAND TRACKER'!$AC$5:$AC$204),87),'⚡ COMMAND TRACKER'!$AC$5:$AC$204,0),""))-TODAY()&lt;0,"🚨 OVERDUE",IF(INDEX('⚡ COMMAND TRACKER'!$AC$5:$AC$204,IFERROR(MATCH(SMALL(IF('⚡ COMMAND TRACKER'!$AC$5:$AC$204&lt;="",9999999,'⚡ COMMAND TRACKER'!$AC$5:$AC$204),87),'⚡ COMMAND TRACKER'!$AC$5:$AC$204,0),""))-TODAY()&lt;=1,"🔔 DUE NOW","📋 UPCOMING")),"")</f>
        <v/>
      </c>
      <c r="B90" s="17" t="str">
        <f aca="false">IFERROR(INDEX('⚡ COMMAND TRACKER'!$A$5:$A$204,IFERROR(MATCH(SMALL(IF('⚡ COMMAND TRACKER'!$AC$5:$AC$204&lt;="",9999999,'⚡ COMMAND TRACKER'!$AC$5:$AC$204),87),'⚡ COMMAND TRACKER'!$AC$5:$AC$204,0),"")),"")</f>
        <v/>
      </c>
      <c r="C90" s="17" t="str">
        <f aca="false">IFERROR(INDEX('⚡ COMMAND TRACKER'!$E$5:$E$204,IFERROR(MATCH(SMALL(IF('⚡ COMMAND TRACKER'!$AC$5:$AC$204&lt;="",9999999,'⚡ COMMAND TRACKER'!$AC$5:$AC$204),87),'⚡ COMMAND TRACKER'!$AC$5:$AC$204,0),"")),"")</f>
        <v/>
      </c>
      <c r="D90" s="27" t="str">
        <f aca="false">IFERROR(INDEX('⚡ COMMAND TRACKER'!$B$5:$B$204,IFERROR(MATCH(SMALL(IF('⚡ COMMAND TRACKER'!$AC$5:$AC$204&lt;="",9999999,'⚡ COMMAND TRACKER'!$AC$5:$AC$204),87),'⚡ COMMAND TRACKER'!$AC$5:$AC$204,0),"")),"")</f>
        <v/>
      </c>
      <c r="E90" s="34" t="str">
        <f aca="false">IFERROR(INDEX('⚡ COMMAND TRACKER'!$Y$5:$Y$204,IFERROR(MATCH(SMALL(IF('⚡ COMMAND TRACKER'!$AC$5:$AC$204&lt;="",9999999,'⚡ COMMAND TRACKER'!$AC$5:$AC$204),87),'⚡ COMMAND TRACKER'!$AC$5:$AC$204,0),"")),"")</f>
        <v/>
      </c>
      <c r="F90" s="18" t="str">
        <f aca="false">IFERROR(INDEX('⚡ COMMAND TRACKER'!$Z$5:$Z$204,IFERROR(MATCH(SMALL(IF('⚡ COMMAND TRACKER'!$AC$5:$AC$204&lt;="",9999999,'⚡ COMMAND TRACKER'!$AC$5:$AC$204),87),'⚡ COMMAND TRACKER'!$AC$5:$AC$204,0),"")),"")</f>
        <v/>
      </c>
      <c r="G90" s="18" t="str">
        <f aca="false">IFERROR(INDEX('⚡ COMMAND TRACKER'!$U$5:$U$204,IFERROR(MATCH(SMALL(IF('⚡ COMMAND TRACKER'!$AC$5:$AC$204&lt;="",9999999,'⚡ COMMAND TRACKER'!$AC$5:$AC$204),87),'⚡ COMMAND TRACKER'!$AC$5:$AC$204,0),"")),"")</f>
        <v/>
      </c>
      <c r="H90" s="17" t="str">
        <f aca="false">IFERROR(INDEX('⚡ COMMAND TRACKER'!$X$5:$X$204,IFERROR(MATCH(SMALL(IF('⚡ COMMAND TRACKER'!$AC$5:$AC$204&lt;="",9999999,'⚡ COMMAND TRACKER'!$AC$5:$AC$204),87),'⚡ COMMAND TRACKER'!$AC$5:$AC$204,0),"")),"")</f>
        <v/>
      </c>
      <c r="I90" s="21" t="str">
        <f aca="false">IFERROR(INDEX('⚡ COMMAND TRACKER'!$AB$5:$AB$204,IFERROR(MATCH(SMALL(IF('⚡ COMMAND TRACKER'!$AC$5:$AC$204&lt;="",9999999,'⚡ COMMAND TRACKER'!$AC$5:$AC$204),87),'⚡ COMMAND TRACKER'!$AC$5:$AC$204,0),"")),"")</f>
        <v/>
      </c>
      <c r="J90" s="21" t="str">
        <f aca="false">IFERROR(INDEX('⚡ COMMAND TRACKER'!$AC$5:$AC$204,IFERROR(MATCH(SMALL(IF('⚡ COMMAND TRACKER'!$AC$5:$AC$204&lt;="",9999999,'⚡ COMMAND TRACKER'!$AC$5:$AC$204),87),'⚡ COMMAND TRACKER'!$AC$5:$AC$204,0),"")),"")</f>
        <v/>
      </c>
      <c r="K90" s="23" t="str">
        <f aca="true">IFERROR(IF(J90="","",TODAY()-J90),"")</f>
        <v/>
      </c>
    </row>
    <row r="91" customFormat="false" ht="19.5" hidden="false" customHeight="true" outlineLevel="0" collapsed="false">
      <c r="A91" s="11" t="str">
        <f aca="true">IFERROR(IF(INDEX('⚡ COMMAND TRACKER'!$AC$5:$AC$204,IFERROR(MATCH(SMALL(IF('⚡ COMMAND TRACKER'!$AC$5:$AC$204&lt;="",9999999,'⚡ COMMAND TRACKER'!$AC$5:$AC$204),88),'⚡ COMMAND TRACKER'!$AC$5:$AC$204,0),""))-TODAY()&lt;0,"🚨 OVERDUE",IF(INDEX('⚡ COMMAND TRACKER'!$AC$5:$AC$204,IFERROR(MATCH(SMALL(IF('⚡ COMMAND TRACKER'!$AC$5:$AC$204&lt;="",9999999,'⚡ COMMAND TRACKER'!$AC$5:$AC$204),88),'⚡ COMMAND TRACKER'!$AC$5:$AC$204,0),""))-TODAY()&lt;=1,"🔔 DUE NOW","📋 UPCOMING")),"")</f>
        <v/>
      </c>
      <c r="B91" s="10" t="str">
        <f aca="false">IFERROR(INDEX('⚡ COMMAND TRACKER'!$A$5:$A$204,IFERROR(MATCH(SMALL(IF('⚡ COMMAND TRACKER'!$AC$5:$AC$204&lt;="",9999999,'⚡ COMMAND TRACKER'!$AC$5:$AC$204),88),'⚡ COMMAND TRACKER'!$AC$5:$AC$204,0),"")),"")</f>
        <v/>
      </c>
      <c r="C91" s="10" t="str">
        <f aca="false">IFERROR(INDEX('⚡ COMMAND TRACKER'!$E$5:$E$204,IFERROR(MATCH(SMALL(IF('⚡ COMMAND TRACKER'!$AC$5:$AC$204&lt;="",9999999,'⚡ COMMAND TRACKER'!$AC$5:$AC$204),88),'⚡ COMMAND TRACKER'!$AC$5:$AC$204,0),"")),"")</f>
        <v/>
      </c>
      <c r="D91" s="30" t="str">
        <f aca="false">IFERROR(INDEX('⚡ COMMAND TRACKER'!$B$5:$B$204,IFERROR(MATCH(SMALL(IF('⚡ COMMAND TRACKER'!$AC$5:$AC$204&lt;="",9999999,'⚡ COMMAND TRACKER'!$AC$5:$AC$204),88),'⚡ COMMAND TRACKER'!$AC$5:$AC$204,0),"")),"")</f>
        <v/>
      </c>
      <c r="E91" s="35" t="str">
        <f aca="false">IFERROR(INDEX('⚡ COMMAND TRACKER'!$Y$5:$Y$204,IFERROR(MATCH(SMALL(IF('⚡ COMMAND TRACKER'!$AC$5:$AC$204&lt;="",9999999,'⚡ COMMAND TRACKER'!$AC$5:$AC$204),88),'⚡ COMMAND TRACKER'!$AC$5:$AC$204,0),"")),"")</f>
        <v/>
      </c>
      <c r="F91" s="11" t="str">
        <f aca="false">IFERROR(INDEX('⚡ COMMAND TRACKER'!$Z$5:$Z$204,IFERROR(MATCH(SMALL(IF('⚡ COMMAND TRACKER'!$AC$5:$AC$204&lt;="",9999999,'⚡ COMMAND TRACKER'!$AC$5:$AC$204),88),'⚡ COMMAND TRACKER'!$AC$5:$AC$204,0),"")),"")</f>
        <v/>
      </c>
      <c r="G91" s="11" t="str">
        <f aca="false">IFERROR(INDEX('⚡ COMMAND TRACKER'!$U$5:$U$204,IFERROR(MATCH(SMALL(IF('⚡ COMMAND TRACKER'!$AC$5:$AC$204&lt;="",9999999,'⚡ COMMAND TRACKER'!$AC$5:$AC$204),88),'⚡ COMMAND TRACKER'!$AC$5:$AC$204,0),"")),"")</f>
        <v/>
      </c>
      <c r="H91" s="10" t="str">
        <f aca="false">IFERROR(INDEX('⚡ COMMAND TRACKER'!$X$5:$X$204,IFERROR(MATCH(SMALL(IF('⚡ COMMAND TRACKER'!$AC$5:$AC$204&lt;="",9999999,'⚡ COMMAND TRACKER'!$AC$5:$AC$204),88),'⚡ COMMAND TRACKER'!$AC$5:$AC$204,0),"")),"")</f>
        <v/>
      </c>
      <c r="I91" s="14" t="str">
        <f aca="false">IFERROR(INDEX('⚡ COMMAND TRACKER'!$AB$5:$AB$204,IFERROR(MATCH(SMALL(IF('⚡ COMMAND TRACKER'!$AC$5:$AC$204&lt;="",9999999,'⚡ COMMAND TRACKER'!$AC$5:$AC$204),88),'⚡ COMMAND TRACKER'!$AC$5:$AC$204,0),"")),"")</f>
        <v/>
      </c>
      <c r="J91" s="14" t="str">
        <f aca="false">IFERROR(INDEX('⚡ COMMAND TRACKER'!$AC$5:$AC$204,IFERROR(MATCH(SMALL(IF('⚡ COMMAND TRACKER'!$AC$5:$AC$204&lt;="",9999999,'⚡ COMMAND TRACKER'!$AC$5:$AC$204),88),'⚡ COMMAND TRACKER'!$AC$5:$AC$204,0),"")),"")</f>
        <v/>
      </c>
      <c r="K91" s="16" t="str">
        <f aca="true">IFERROR(IF(J91="","",TODAY()-J91),"")</f>
        <v/>
      </c>
    </row>
    <row r="92" customFormat="false" ht="19.5" hidden="false" customHeight="true" outlineLevel="0" collapsed="false">
      <c r="A92" s="18" t="str">
        <f aca="true">IFERROR(IF(INDEX('⚡ COMMAND TRACKER'!$AC$5:$AC$204,IFERROR(MATCH(SMALL(IF('⚡ COMMAND TRACKER'!$AC$5:$AC$204&lt;="",9999999,'⚡ COMMAND TRACKER'!$AC$5:$AC$204),89),'⚡ COMMAND TRACKER'!$AC$5:$AC$204,0),""))-TODAY()&lt;0,"🚨 OVERDUE",IF(INDEX('⚡ COMMAND TRACKER'!$AC$5:$AC$204,IFERROR(MATCH(SMALL(IF('⚡ COMMAND TRACKER'!$AC$5:$AC$204&lt;="",9999999,'⚡ COMMAND TRACKER'!$AC$5:$AC$204),89),'⚡ COMMAND TRACKER'!$AC$5:$AC$204,0),""))-TODAY()&lt;=1,"🔔 DUE NOW","📋 UPCOMING")),"")</f>
        <v/>
      </c>
      <c r="B92" s="17" t="str">
        <f aca="false">IFERROR(INDEX('⚡ COMMAND TRACKER'!$A$5:$A$204,IFERROR(MATCH(SMALL(IF('⚡ COMMAND TRACKER'!$AC$5:$AC$204&lt;="",9999999,'⚡ COMMAND TRACKER'!$AC$5:$AC$204),89),'⚡ COMMAND TRACKER'!$AC$5:$AC$204,0),"")),"")</f>
        <v/>
      </c>
      <c r="C92" s="17" t="str">
        <f aca="false">IFERROR(INDEX('⚡ COMMAND TRACKER'!$E$5:$E$204,IFERROR(MATCH(SMALL(IF('⚡ COMMAND TRACKER'!$AC$5:$AC$204&lt;="",9999999,'⚡ COMMAND TRACKER'!$AC$5:$AC$204),89),'⚡ COMMAND TRACKER'!$AC$5:$AC$204,0),"")),"")</f>
        <v/>
      </c>
      <c r="D92" s="27" t="str">
        <f aca="false">IFERROR(INDEX('⚡ COMMAND TRACKER'!$B$5:$B$204,IFERROR(MATCH(SMALL(IF('⚡ COMMAND TRACKER'!$AC$5:$AC$204&lt;="",9999999,'⚡ COMMAND TRACKER'!$AC$5:$AC$204),89),'⚡ COMMAND TRACKER'!$AC$5:$AC$204,0),"")),"")</f>
        <v/>
      </c>
      <c r="E92" s="34" t="str">
        <f aca="false">IFERROR(INDEX('⚡ COMMAND TRACKER'!$Y$5:$Y$204,IFERROR(MATCH(SMALL(IF('⚡ COMMAND TRACKER'!$AC$5:$AC$204&lt;="",9999999,'⚡ COMMAND TRACKER'!$AC$5:$AC$204),89),'⚡ COMMAND TRACKER'!$AC$5:$AC$204,0),"")),"")</f>
        <v/>
      </c>
      <c r="F92" s="18" t="str">
        <f aca="false">IFERROR(INDEX('⚡ COMMAND TRACKER'!$Z$5:$Z$204,IFERROR(MATCH(SMALL(IF('⚡ COMMAND TRACKER'!$AC$5:$AC$204&lt;="",9999999,'⚡ COMMAND TRACKER'!$AC$5:$AC$204),89),'⚡ COMMAND TRACKER'!$AC$5:$AC$204,0),"")),"")</f>
        <v/>
      </c>
      <c r="G92" s="18" t="str">
        <f aca="false">IFERROR(INDEX('⚡ COMMAND TRACKER'!$U$5:$U$204,IFERROR(MATCH(SMALL(IF('⚡ COMMAND TRACKER'!$AC$5:$AC$204&lt;="",9999999,'⚡ COMMAND TRACKER'!$AC$5:$AC$204),89),'⚡ COMMAND TRACKER'!$AC$5:$AC$204,0),"")),"")</f>
        <v/>
      </c>
      <c r="H92" s="17" t="str">
        <f aca="false">IFERROR(INDEX('⚡ COMMAND TRACKER'!$X$5:$X$204,IFERROR(MATCH(SMALL(IF('⚡ COMMAND TRACKER'!$AC$5:$AC$204&lt;="",9999999,'⚡ COMMAND TRACKER'!$AC$5:$AC$204),89),'⚡ COMMAND TRACKER'!$AC$5:$AC$204,0),"")),"")</f>
        <v/>
      </c>
      <c r="I92" s="21" t="str">
        <f aca="false">IFERROR(INDEX('⚡ COMMAND TRACKER'!$AB$5:$AB$204,IFERROR(MATCH(SMALL(IF('⚡ COMMAND TRACKER'!$AC$5:$AC$204&lt;="",9999999,'⚡ COMMAND TRACKER'!$AC$5:$AC$204),89),'⚡ COMMAND TRACKER'!$AC$5:$AC$204,0),"")),"")</f>
        <v/>
      </c>
      <c r="J92" s="21" t="str">
        <f aca="false">IFERROR(INDEX('⚡ COMMAND TRACKER'!$AC$5:$AC$204,IFERROR(MATCH(SMALL(IF('⚡ COMMAND TRACKER'!$AC$5:$AC$204&lt;="",9999999,'⚡ COMMAND TRACKER'!$AC$5:$AC$204),89),'⚡ COMMAND TRACKER'!$AC$5:$AC$204,0),"")),"")</f>
        <v/>
      </c>
      <c r="K92" s="23" t="str">
        <f aca="true">IFERROR(IF(J92="","",TODAY()-J92),"")</f>
        <v/>
      </c>
    </row>
    <row r="93" customFormat="false" ht="19.5" hidden="false" customHeight="true" outlineLevel="0" collapsed="false">
      <c r="A93" s="11" t="str">
        <f aca="true">IFERROR(IF(INDEX('⚡ COMMAND TRACKER'!$AC$5:$AC$204,IFERROR(MATCH(SMALL(IF('⚡ COMMAND TRACKER'!$AC$5:$AC$204&lt;="",9999999,'⚡ COMMAND TRACKER'!$AC$5:$AC$204),90),'⚡ COMMAND TRACKER'!$AC$5:$AC$204,0),""))-TODAY()&lt;0,"🚨 OVERDUE",IF(INDEX('⚡ COMMAND TRACKER'!$AC$5:$AC$204,IFERROR(MATCH(SMALL(IF('⚡ COMMAND TRACKER'!$AC$5:$AC$204&lt;="",9999999,'⚡ COMMAND TRACKER'!$AC$5:$AC$204),90),'⚡ COMMAND TRACKER'!$AC$5:$AC$204,0),""))-TODAY()&lt;=1,"🔔 DUE NOW","📋 UPCOMING")),"")</f>
        <v/>
      </c>
      <c r="B93" s="10" t="str">
        <f aca="false">IFERROR(INDEX('⚡ COMMAND TRACKER'!$A$5:$A$204,IFERROR(MATCH(SMALL(IF('⚡ COMMAND TRACKER'!$AC$5:$AC$204&lt;="",9999999,'⚡ COMMAND TRACKER'!$AC$5:$AC$204),90),'⚡ COMMAND TRACKER'!$AC$5:$AC$204,0),"")),"")</f>
        <v/>
      </c>
      <c r="C93" s="10" t="str">
        <f aca="false">IFERROR(INDEX('⚡ COMMAND TRACKER'!$E$5:$E$204,IFERROR(MATCH(SMALL(IF('⚡ COMMAND TRACKER'!$AC$5:$AC$204&lt;="",9999999,'⚡ COMMAND TRACKER'!$AC$5:$AC$204),90),'⚡ COMMAND TRACKER'!$AC$5:$AC$204,0),"")),"")</f>
        <v/>
      </c>
      <c r="D93" s="30" t="str">
        <f aca="false">IFERROR(INDEX('⚡ COMMAND TRACKER'!$B$5:$B$204,IFERROR(MATCH(SMALL(IF('⚡ COMMAND TRACKER'!$AC$5:$AC$204&lt;="",9999999,'⚡ COMMAND TRACKER'!$AC$5:$AC$204),90),'⚡ COMMAND TRACKER'!$AC$5:$AC$204,0),"")),"")</f>
        <v/>
      </c>
      <c r="E93" s="35" t="str">
        <f aca="false">IFERROR(INDEX('⚡ COMMAND TRACKER'!$Y$5:$Y$204,IFERROR(MATCH(SMALL(IF('⚡ COMMAND TRACKER'!$AC$5:$AC$204&lt;="",9999999,'⚡ COMMAND TRACKER'!$AC$5:$AC$204),90),'⚡ COMMAND TRACKER'!$AC$5:$AC$204,0),"")),"")</f>
        <v/>
      </c>
      <c r="F93" s="11" t="str">
        <f aca="false">IFERROR(INDEX('⚡ COMMAND TRACKER'!$Z$5:$Z$204,IFERROR(MATCH(SMALL(IF('⚡ COMMAND TRACKER'!$AC$5:$AC$204&lt;="",9999999,'⚡ COMMAND TRACKER'!$AC$5:$AC$204),90),'⚡ COMMAND TRACKER'!$AC$5:$AC$204,0),"")),"")</f>
        <v/>
      </c>
      <c r="G93" s="11" t="str">
        <f aca="false">IFERROR(INDEX('⚡ COMMAND TRACKER'!$U$5:$U$204,IFERROR(MATCH(SMALL(IF('⚡ COMMAND TRACKER'!$AC$5:$AC$204&lt;="",9999999,'⚡ COMMAND TRACKER'!$AC$5:$AC$204),90),'⚡ COMMAND TRACKER'!$AC$5:$AC$204,0),"")),"")</f>
        <v/>
      </c>
      <c r="H93" s="10" t="str">
        <f aca="false">IFERROR(INDEX('⚡ COMMAND TRACKER'!$X$5:$X$204,IFERROR(MATCH(SMALL(IF('⚡ COMMAND TRACKER'!$AC$5:$AC$204&lt;="",9999999,'⚡ COMMAND TRACKER'!$AC$5:$AC$204),90),'⚡ COMMAND TRACKER'!$AC$5:$AC$204,0),"")),"")</f>
        <v/>
      </c>
      <c r="I93" s="14" t="str">
        <f aca="false">IFERROR(INDEX('⚡ COMMAND TRACKER'!$AB$5:$AB$204,IFERROR(MATCH(SMALL(IF('⚡ COMMAND TRACKER'!$AC$5:$AC$204&lt;="",9999999,'⚡ COMMAND TRACKER'!$AC$5:$AC$204),90),'⚡ COMMAND TRACKER'!$AC$5:$AC$204,0),"")),"")</f>
        <v/>
      </c>
      <c r="J93" s="14" t="str">
        <f aca="false">IFERROR(INDEX('⚡ COMMAND TRACKER'!$AC$5:$AC$204,IFERROR(MATCH(SMALL(IF('⚡ COMMAND TRACKER'!$AC$5:$AC$204&lt;="",9999999,'⚡ COMMAND TRACKER'!$AC$5:$AC$204),90),'⚡ COMMAND TRACKER'!$AC$5:$AC$204,0),"")),"")</f>
        <v/>
      </c>
      <c r="K93" s="16" t="str">
        <f aca="true">IFERROR(IF(J93="","",TODAY()-J93),"")</f>
        <v/>
      </c>
    </row>
    <row r="94" customFormat="false" ht="19.5" hidden="false" customHeight="true" outlineLevel="0" collapsed="false">
      <c r="A94" s="18" t="str">
        <f aca="true">IFERROR(IF(INDEX('⚡ COMMAND TRACKER'!$AC$5:$AC$204,IFERROR(MATCH(SMALL(IF('⚡ COMMAND TRACKER'!$AC$5:$AC$204&lt;="",9999999,'⚡ COMMAND TRACKER'!$AC$5:$AC$204),91),'⚡ COMMAND TRACKER'!$AC$5:$AC$204,0),""))-TODAY()&lt;0,"🚨 OVERDUE",IF(INDEX('⚡ COMMAND TRACKER'!$AC$5:$AC$204,IFERROR(MATCH(SMALL(IF('⚡ COMMAND TRACKER'!$AC$5:$AC$204&lt;="",9999999,'⚡ COMMAND TRACKER'!$AC$5:$AC$204),91),'⚡ COMMAND TRACKER'!$AC$5:$AC$204,0),""))-TODAY()&lt;=1,"🔔 DUE NOW","📋 UPCOMING")),"")</f>
        <v/>
      </c>
      <c r="B94" s="17" t="str">
        <f aca="false">IFERROR(INDEX('⚡ COMMAND TRACKER'!$A$5:$A$204,IFERROR(MATCH(SMALL(IF('⚡ COMMAND TRACKER'!$AC$5:$AC$204&lt;="",9999999,'⚡ COMMAND TRACKER'!$AC$5:$AC$204),91),'⚡ COMMAND TRACKER'!$AC$5:$AC$204,0),"")),"")</f>
        <v/>
      </c>
      <c r="C94" s="17" t="str">
        <f aca="false">IFERROR(INDEX('⚡ COMMAND TRACKER'!$E$5:$E$204,IFERROR(MATCH(SMALL(IF('⚡ COMMAND TRACKER'!$AC$5:$AC$204&lt;="",9999999,'⚡ COMMAND TRACKER'!$AC$5:$AC$204),91),'⚡ COMMAND TRACKER'!$AC$5:$AC$204,0),"")),"")</f>
        <v/>
      </c>
      <c r="D94" s="27" t="str">
        <f aca="false">IFERROR(INDEX('⚡ COMMAND TRACKER'!$B$5:$B$204,IFERROR(MATCH(SMALL(IF('⚡ COMMAND TRACKER'!$AC$5:$AC$204&lt;="",9999999,'⚡ COMMAND TRACKER'!$AC$5:$AC$204),91),'⚡ COMMAND TRACKER'!$AC$5:$AC$204,0),"")),"")</f>
        <v/>
      </c>
      <c r="E94" s="34" t="str">
        <f aca="false">IFERROR(INDEX('⚡ COMMAND TRACKER'!$Y$5:$Y$204,IFERROR(MATCH(SMALL(IF('⚡ COMMAND TRACKER'!$AC$5:$AC$204&lt;="",9999999,'⚡ COMMAND TRACKER'!$AC$5:$AC$204),91),'⚡ COMMAND TRACKER'!$AC$5:$AC$204,0),"")),"")</f>
        <v/>
      </c>
      <c r="F94" s="18" t="str">
        <f aca="false">IFERROR(INDEX('⚡ COMMAND TRACKER'!$Z$5:$Z$204,IFERROR(MATCH(SMALL(IF('⚡ COMMAND TRACKER'!$AC$5:$AC$204&lt;="",9999999,'⚡ COMMAND TRACKER'!$AC$5:$AC$204),91),'⚡ COMMAND TRACKER'!$AC$5:$AC$204,0),"")),"")</f>
        <v/>
      </c>
      <c r="G94" s="18" t="str">
        <f aca="false">IFERROR(INDEX('⚡ COMMAND TRACKER'!$U$5:$U$204,IFERROR(MATCH(SMALL(IF('⚡ COMMAND TRACKER'!$AC$5:$AC$204&lt;="",9999999,'⚡ COMMAND TRACKER'!$AC$5:$AC$204),91),'⚡ COMMAND TRACKER'!$AC$5:$AC$204,0),"")),"")</f>
        <v/>
      </c>
      <c r="H94" s="17" t="str">
        <f aca="false">IFERROR(INDEX('⚡ COMMAND TRACKER'!$X$5:$X$204,IFERROR(MATCH(SMALL(IF('⚡ COMMAND TRACKER'!$AC$5:$AC$204&lt;="",9999999,'⚡ COMMAND TRACKER'!$AC$5:$AC$204),91),'⚡ COMMAND TRACKER'!$AC$5:$AC$204,0),"")),"")</f>
        <v/>
      </c>
      <c r="I94" s="21" t="str">
        <f aca="false">IFERROR(INDEX('⚡ COMMAND TRACKER'!$AB$5:$AB$204,IFERROR(MATCH(SMALL(IF('⚡ COMMAND TRACKER'!$AC$5:$AC$204&lt;="",9999999,'⚡ COMMAND TRACKER'!$AC$5:$AC$204),91),'⚡ COMMAND TRACKER'!$AC$5:$AC$204,0),"")),"")</f>
        <v/>
      </c>
      <c r="J94" s="21" t="str">
        <f aca="false">IFERROR(INDEX('⚡ COMMAND TRACKER'!$AC$5:$AC$204,IFERROR(MATCH(SMALL(IF('⚡ COMMAND TRACKER'!$AC$5:$AC$204&lt;="",9999999,'⚡ COMMAND TRACKER'!$AC$5:$AC$204),91),'⚡ COMMAND TRACKER'!$AC$5:$AC$204,0),"")),"")</f>
        <v/>
      </c>
      <c r="K94" s="23" t="str">
        <f aca="true">IFERROR(IF(J94="","",TODAY()-J94),"")</f>
        <v/>
      </c>
    </row>
    <row r="95" customFormat="false" ht="19.5" hidden="false" customHeight="true" outlineLevel="0" collapsed="false">
      <c r="A95" s="11" t="str">
        <f aca="true">IFERROR(IF(INDEX('⚡ COMMAND TRACKER'!$AC$5:$AC$204,IFERROR(MATCH(SMALL(IF('⚡ COMMAND TRACKER'!$AC$5:$AC$204&lt;="",9999999,'⚡ COMMAND TRACKER'!$AC$5:$AC$204),92),'⚡ COMMAND TRACKER'!$AC$5:$AC$204,0),""))-TODAY()&lt;0,"🚨 OVERDUE",IF(INDEX('⚡ COMMAND TRACKER'!$AC$5:$AC$204,IFERROR(MATCH(SMALL(IF('⚡ COMMAND TRACKER'!$AC$5:$AC$204&lt;="",9999999,'⚡ COMMAND TRACKER'!$AC$5:$AC$204),92),'⚡ COMMAND TRACKER'!$AC$5:$AC$204,0),""))-TODAY()&lt;=1,"🔔 DUE NOW","📋 UPCOMING")),"")</f>
        <v/>
      </c>
      <c r="B95" s="10" t="str">
        <f aca="false">IFERROR(INDEX('⚡ COMMAND TRACKER'!$A$5:$A$204,IFERROR(MATCH(SMALL(IF('⚡ COMMAND TRACKER'!$AC$5:$AC$204&lt;="",9999999,'⚡ COMMAND TRACKER'!$AC$5:$AC$204),92),'⚡ COMMAND TRACKER'!$AC$5:$AC$204,0),"")),"")</f>
        <v/>
      </c>
      <c r="C95" s="10" t="str">
        <f aca="false">IFERROR(INDEX('⚡ COMMAND TRACKER'!$E$5:$E$204,IFERROR(MATCH(SMALL(IF('⚡ COMMAND TRACKER'!$AC$5:$AC$204&lt;="",9999999,'⚡ COMMAND TRACKER'!$AC$5:$AC$204),92),'⚡ COMMAND TRACKER'!$AC$5:$AC$204,0),"")),"")</f>
        <v/>
      </c>
      <c r="D95" s="30" t="str">
        <f aca="false">IFERROR(INDEX('⚡ COMMAND TRACKER'!$B$5:$B$204,IFERROR(MATCH(SMALL(IF('⚡ COMMAND TRACKER'!$AC$5:$AC$204&lt;="",9999999,'⚡ COMMAND TRACKER'!$AC$5:$AC$204),92),'⚡ COMMAND TRACKER'!$AC$5:$AC$204,0),"")),"")</f>
        <v/>
      </c>
      <c r="E95" s="35" t="str">
        <f aca="false">IFERROR(INDEX('⚡ COMMAND TRACKER'!$Y$5:$Y$204,IFERROR(MATCH(SMALL(IF('⚡ COMMAND TRACKER'!$AC$5:$AC$204&lt;="",9999999,'⚡ COMMAND TRACKER'!$AC$5:$AC$204),92),'⚡ COMMAND TRACKER'!$AC$5:$AC$204,0),"")),"")</f>
        <v/>
      </c>
      <c r="F95" s="11" t="str">
        <f aca="false">IFERROR(INDEX('⚡ COMMAND TRACKER'!$Z$5:$Z$204,IFERROR(MATCH(SMALL(IF('⚡ COMMAND TRACKER'!$AC$5:$AC$204&lt;="",9999999,'⚡ COMMAND TRACKER'!$AC$5:$AC$204),92),'⚡ COMMAND TRACKER'!$AC$5:$AC$204,0),"")),"")</f>
        <v/>
      </c>
      <c r="G95" s="11" t="str">
        <f aca="false">IFERROR(INDEX('⚡ COMMAND TRACKER'!$U$5:$U$204,IFERROR(MATCH(SMALL(IF('⚡ COMMAND TRACKER'!$AC$5:$AC$204&lt;="",9999999,'⚡ COMMAND TRACKER'!$AC$5:$AC$204),92),'⚡ COMMAND TRACKER'!$AC$5:$AC$204,0),"")),"")</f>
        <v/>
      </c>
      <c r="H95" s="10" t="str">
        <f aca="false">IFERROR(INDEX('⚡ COMMAND TRACKER'!$X$5:$X$204,IFERROR(MATCH(SMALL(IF('⚡ COMMAND TRACKER'!$AC$5:$AC$204&lt;="",9999999,'⚡ COMMAND TRACKER'!$AC$5:$AC$204),92),'⚡ COMMAND TRACKER'!$AC$5:$AC$204,0),"")),"")</f>
        <v/>
      </c>
      <c r="I95" s="14" t="str">
        <f aca="false">IFERROR(INDEX('⚡ COMMAND TRACKER'!$AB$5:$AB$204,IFERROR(MATCH(SMALL(IF('⚡ COMMAND TRACKER'!$AC$5:$AC$204&lt;="",9999999,'⚡ COMMAND TRACKER'!$AC$5:$AC$204),92),'⚡ COMMAND TRACKER'!$AC$5:$AC$204,0),"")),"")</f>
        <v/>
      </c>
      <c r="J95" s="14" t="str">
        <f aca="false">IFERROR(INDEX('⚡ COMMAND TRACKER'!$AC$5:$AC$204,IFERROR(MATCH(SMALL(IF('⚡ COMMAND TRACKER'!$AC$5:$AC$204&lt;="",9999999,'⚡ COMMAND TRACKER'!$AC$5:$AC$204),92),'⚡ COMMAND TRACKER'!$AC$5:$AC$204,0),"")),"")</f>
        <v/>
      </c>
      <c r="K95" s="16" t="str">
        <f aca="true">IFERROR(IF(J95="","",TODAY()-J95),"")</f>
        <v/>
      </c>
    </row>
    <row r="96" customFormat="false" ht="19.5" hidden="false" customHeight="true" outlineLevel="0" collapsed="false">
      <c r="A96" s="18" t="str">
        <f aca="true">IFERROR(IF(INDEX('⚡ COMMAND TRACKER'!$AC$5:$AC$204,IFERROR(MATCH(SMALL(IF('⚡ COMMAND TRACKER'!$AC$5:$AC$204&lt;="",9999999,'⚡ COMMAND TRACKER'!$AC$5:$AC$204),93),'⚡ COMMAND TRACKER'!$AC$5:$AC$204,0),""))-TODAY()&lt;0,"🚨 OVERDUE",IF(INDEX('⚡ COMMAND TRACKER'!$AC$5:$AC$204,IFERROR(MATCH(SMALL(IF('⚡ COMMAND TRACKER'!$AC$5:$AC$204&lt;="",9999999,'⚡ COMMAND TRACKER'!$AC$5:$AC$204),93),'⚡ COMMAND TRACKER'!$AC$5:$AC$204,0),""))-TODAY()&lt;=1,"🔔 DUE NOW","📋 UPCOMING")),"")</f>
        <v/>
      </c>
      <c r="B96" s="17" t="str">
        <f aca="false">IFERROR(INDEX('⚡ COMMAND TRACKER'!$A$5:$A$204,IFERROR(MATCH(SMALL(IF('⚡ COMMAND TRACKER'!$AC$5:$AC$204&lt;="",9999999,'⚡ COMMAND TRACKER'!$AC$5:$AC$204),93),'⚡ COMMAND TRACKER'!$AC$5:$AC$204,0),"")),"")</f>
        <v/>
      </c>
      <c r="C96" s="17" t="str">
        <f aca="false">IFERROR(INDEX('⚡ COMMAND TRACKER'!$E$5:$E$204,IFERROR(MATCH(SMALL(IF('⚡ COMMAND TRACKER'!$AC$5:$AC$204&lt;="",9999999,'⚡ COMMAND TRACKER'!$AC$5:$AC$204),93),'⚡ COMMAND TRACKER'!$AC$5:$AC$204,0),"")),"")</f>
        <v/>
      </c>
      <c r="D96" s="27" t="str">
        <f aca="false">IFERROR(INDEX('⚡ COMMAND TRACKER'!$B$5:$B$204,IFERROR(MATCH(SMALL(IF('⚡ COMMAND TRACKER'!$AC$5:$AC$204&lt;="",9999999,'⚡ COMMAND TRACKER'!$AC$5:$AC$204),93),'⚡ COMMAND TRACKER'!$AC$5:$AC$204,0),"")),"")</f>
        <v/>
      </c>
      <c r="E96" s="34" t="str">
        <f aca="false">IFERROR(INDEX('⚡ COMMAND TRACKER'!$Y$5:$Y$204,IFERROR(MATCH(SMALL(IF('⚡ COMMAND TRACKER'!$AC$5:$AC$204&lt;="",9999999,'⚡ COMMAND TRACKER'!$AC$5:$AC$204),93),'⚡ COMMAND TRACKER'!$AC$5:$AC$204,0),"")),"")</f>
        <v/>
      </c>
      <c r="F96" s="18" t="str">
        <f aca="false">IFERROR(INDEX('⚡ COMMAND TRACKER'!$Z$5:$Z$204,IFERROR(MATCH(SMALL(IF('⚡ COMMAND TRACKER'!$AC$5:$AC$204&lt;="",9999999,'⚡ COMMAND TRACKER'!$AC$5:$AC$204),93),'⚡ COMMAND TRACKER'!$AC$5:$AC$204,0),"")),"")</f>
        <v/>
      </c>
      <c r="G96" s="18" t="str">
        <f aca="false">IFERROR(INDEX('⚡ COMMAND TRACKER'!$U$5:$U$204,IFERROR(MATCH(SMALL(IF('⚡ COMMAND TRACKER'!$AC$5:$AC$204&lt;="",9999999,'⚡ COMMAND TRACKER'!$AC$5:$AC$204),93),'⚡ COMMAND TRACKER'!$AC$5:$AC$204,0),"")),"")</f>
        <v/>
      </c>
      <c r="H96" s="17" t="str">
        <f aca="false">IFERROR(INDEX('⚡ COMMAND TRACKER'!$X$5:$X$204,IFERROR(MATCH(SMALL(IF('⚡ COMMAND TRACKER'!$AC$5:$AC$204&lt;="",9999999,'⚡ COMMAND TRACKER'!$AC$5:$AC$204),93),'⚡ COMMAND TRACKER'!$AC$5:$AC$204,0),"")),"")</f>
        <v/>
      </c>
      <c r="I96" s="21" t="str">
        <f aca="false">IFERROR(INDEX('⚡ COMMAND TRACKER'!$AB$5:$AB$204,IFERROR(MATCH(SMALL(IF('⚡ COMMAND TRACKER'!$AC$5:$AC$204&lt;="",9999999,'⚡ COMMAND TRACKER'!$AC$5:$AC$204),93),'⚡ COMMAND TRACKER'!$AC$5:$AC$204,0),"")),"")</f>
        <v/>
      </c>
      <c r="J96" s="21" t="str">
        <f aca="false">IFERROR(INDEX('⚡ COMMAND TRACKER'!$AC$5:$AC$204,IFERROR(MATCH(SMALL(IF('⚡ COMMAND TRACKER'!$AC$5:$AC$204&lt;="",9999999,'⚡ COMMAND TRACKER'!$AC$5:$AC$204),93),'⚡ COMMAND TRACKER'!$AC$5:$AC$204,0),"")),"")</f>
        <v/>
      </c>
      <c r="K96" s="23" t="str">
        <f aca="true">IFERROR(IF(J96="","",TODAY()-J96),"")</f>
        <v/>
      </c>
    </row>
    <row r="97" customFormat="false" ht="19.5" hidden="false" customHeight="true" outlineLevel="0" collapsed="false">
      <c r="A97" s="11" t="str">
        <f aca="true">IFERROR(IF(INDEX('⚡ COMMAND TRACKER'!$AC$5:$AC$204,IFERROR(MATCH(SMALL(IF('⚡ COMMAND TRACKER'!$AC$5:$AC$204&lt;="",9999999,'⚡ COMMAND TRACKER'!$AC$5:$AC$204),94),'⚡ COMMAND TRACKER'!$AC$5:$AC$204,0),""))-TODAY()&lt;0,"🚨 OVERDUE",IF(INDEX('⚡ COMMAND TRACKER'!$AC$5:$AC$204,IFERROR(MATCH(SMALL(IF('⚡ COMMAND TRACKER'!$AC$5:$AC$204&lt;="",9999999,'⚡ COMMAND TRACKER'!$AC$5:$AC$204),94),'⚡ COMMAND TRACKER'!$AC$5:$AC$204,0),""))-TODAY()&lt;=1,"🔔 DUE NOW","📋 UPCOMING")),"")</f>
        <v/>
      </c>
      <c r="B97" s="10" t="str">
        <f aca="false">IFERROR(INDEX('⚡ COMMAND TRACKER'!$A$5:$A$204,IFERROR(MATCH(SMALL(IF('⚡ COMMAND TRACKER'!$AC$5:$AC$204&lt;="",9999999,'⚡ COMMAND TRACKER'!$AC$5:$AC$204),94),'⚡ COMMAND TRACKER'!$AC$5:$AC$204,0),"")),"")</f>
        <v/>
      </c>
      <c r="C97" s="10" t="str">
        <f aca="false">IFERROR(INDEX('⚡ COMMAND TRACKER'!$E$5:$E$204,IFERROR(MATCH(SMALL(IF('⚡ COMMAND TRACKER'!$AC$5:$AC$204&lt;="",9999999,'⚡ COMMAND TRACKER'!$AC$5:$AC$204),94),'⚡ COMMAND TRACKER'!$AC$5:$AC$204,0),"")),"")</f>
        <v/>
      </c>
      <c r="D97" s="30" t="str">
        <f aca="false">IFERROR(INDEX('⚡ COMMAND TRACKER'!$B$5:$B$204,IFERROR(MATCH(SMALL(IF('⚡ COMMAND TRACKER'!$AC$5:$AC$204&lt;="",9999999,'⚡ COMMAND TRACKER'!$AC$5:$AC$204),94),'⚡ COMMAND TRACKER'!$AC$5:$AC$204,0),"")),"")</f>
        <v/>
      </c>
      <c r="E97" s="35" t="str">
        <f aca="false">IFERROR(INDEX('⚡ COMMAND TRACKER'!$Y$5:$Y$204,IFERROR(MATCH(SMALL(IF('⚡ COMMAND TRACKER'!$AC$5:$AC$204&lt;="",9999999,'⚡ COMMAND TRACKER'!$AC$5:$AC$204),94),'⚡ COMMAND TRACKER'!$AC$5:$AC$204,0),"")),"")</f>
        <v/>
      </c>
      <c r="F97" s="11" t="str">
        <f aca="false">IFERROR(INDEX('⚡ COMMAND TRACKER'!$Z$5:$Z$204,IFERROR(MATCH(SMALL(IF('⚡ COMMAND TRACKER'!$AC$5:$AC$204&lt;="",9999999,'⚡ COMMAND TRACKER'!$AC$5:$AC$204),94),'⚡ COMMAND TRACKER'!$AC$5:$AC$204,0),"")),"")</f>
        <v/>
      </c>
      <c r="G97" s="11" t="str">
        <f aca="false">IFERROR(INDEX('⚡ COMMAND TRACKER'!$U$5:$U$204,IFERROR(MATCH(SMALL(IF('⚡ COMMAND TRACKER'!$AC$5:$AC$204&lt;="",9999999,'⚡ COMMAND TRACKER'!$AC$5:$AC$204),94),'⚡ COMMAND TRACKER'!$AC$5:$AC$204,0),"")),"")</f>
        <v/>
      </c>
      <c r="H97" s="10" t="str">
        <f aca="false">IFERROR(INDEX('⚡ COMMAND TRACKER'!$X$5:$X$204,IFERROR(MATCH(SMALL(IF('⚡ COMMAND TRACKER'!$AC$5:$AC$204&lt;="",9999999,'⚡ COMMAND TRACKER'!$AC$5:$AC$204),94),'⚡ COMMAND TRACKER'!$AC$5:$AC$204,0),"")),"")</f>
        <v/>
      </c>
      <c r="I97" s="14" t="str">
        <f aca="false">IFERROR(INDEX('⚡ COMMAND TRACKER'!$AB$5:$AB$204,IFERROR(MATCH(SMALL(IF('⚡ COMMAND TRACKER'!$AC$5:$AC$204&lt;="",9999999,'⚡ COMMAND TRACKER'!$AC$5:$AC$204),94),'⚡ COMMAND TRACKER'!$AC$5:$AC$204,0),"")),"")</f>
        <v/>
      </c>
      <c r="J97" s="14" t="str">
        <f aca="false">IFERROR(INDEX('⚡ COMMAND TRACKER'!$AC$5:$AC$204,IFERROR(MATCH(SMALL(IF('⚡ COMMAND TRACKER'!$AC$5:$AC$204&lt;="",9999999,'⚡ COMMAND TRACKER'!$AC$5:$AC$204),94),'⚡ COMMAND TRACKER'!$AC$5:$AC$204,0),"")),"")</f>
        <v/>
      </c>
      <c r="K97" s="16" t="str">
        <f aca="true">IFERROR(IF(J97="","",TODAY()-J97),"")</f>
        <v/>
      </c>
    </row>
    <row r="98" customFormat="false" ht="19.5" hidden="false" customHeight="true" outlineLevel="0" collapsed="false">
      <c r="A98" s="18" t="str">
        <f aca="true">IFERROR(IF(INDEX('⚡ COMMAND TRACKER'!$AC$5:$AC$204,IFERROR(MATCH(SMALL(IF('⚡ COMMAND TRACKER'!$AC$5:$AC$204&lt;="",9999999,'⚡ COMMAND TRACKER'!$AC$5:$AC$204),95),'⚡ COMMAND TRACKER'!$AC$5:$AC$204,0),""))-TODAY()&lt;0,"🚨 OVERDUE",IF(INDEX('⚡ COMMAND TRACKER'!$AC$5:$AC$204,IFERROR(MATCH(SMALL(IF('⚡ COMMAND TRACKER'!$AC$5:$AC$204&lt;="",9999999,'⚡ COMMAND TRACKER'!$AC$5:$AC$204),95),'⚡ COMMAND TRACKER'!$AC$5:$AC$204,0),""))-TODAY()&lt;=1,"🔔 DUE NOW","📋 UPCOMING")),"")</f>
        <v/>
      </c>
      <c r="B98" s="17" t="str">
        <f aca="false">IFERROR(INDEX('⚡ COMMAND TRACKER'!$A$5:$A$204,IFERROR(MATCH(SMALL(IF('⚡ COMMAND TRACKER'!$AC$5:$AC$204&lt;="",9999999,'⚡ COMMAND TRACKER'!$AC$5:$AC$204),95),'⚡ COMMAND TRACKER'!$AC$5:$AC$204,0),"")),"")</f>
        <v/>
      </c>
      <c r="C98" s="17" t="str">
        <f aca="false">IFERROR(INDEX('⚡ COMMAND TRACKER'!$E$5:$E$204,IFERROR(MATCH(SMALL(IF('⚡ COMMAND TRACKER'!$AC$5:$AC$204&lt;="",9999999,'⚡ COMMAND TRACKER'!$AC$5:$AC$204),95),'⚡ COMMAND TRACKER'!$AC$5:$AC$204,0),"")),"")</f>
        <v/>
      </c>
      <c r="D98" s="27" t="str">
        <f aca="false">IFERROR(INDEX('⚡ COMMAND TRACKER'!$B$5:$B$204,IFERROR(MATCH(SMALL(IF('⚡ COMMAND TRACKER'!$AC$5:$AC$204&lt;="",9999999,'⚡ COMMAND TRACKER'!$AC$5:$AC$204),95),'⚡ COMMAND TRACKER'!$AC$5:$AC$204,0),"")),"")</f>
        <v/>
      </c>
      <c r="E98" s="34" t="str">
        <f aca="false">IFERROR(INDEX('⚡ COMMAND TRACKER'!$Y$5:$Y$204,IFERROR(MATCH(SMALL(IF('⚡ COMMAND TRACKER'!$AC$5:$AC$204&lt;="",9999999,'⚡ COMMAND TRACKER'!$AC$5:$AC$204),95),'⚡ COMMAND TRACKER'!$AC$5:$AC$204,0),"")),"")</f>
        <v/>
      </c>
      <c r="F98" s="18" t="str">
        <f aca="false">IFERROR(INDEX('⚡ COMMAND TRACKER'!$Z$5:$Z$204,IFERROR(MATCH(SMALL(IF('⚡ COMMAND TRACKER'!$AC$5:$AC$204&lt;="",9999999,'⚡ COMMAND TRACKER'!$AC$5:$AC$204),95),'⚡ COMMAND TRACKER'!$AC$5:$AC$204,0),"")),"")</f>
        <v/>
      </c>
      <c r="G98" s="18" t="str">
        <f aca="false">IFERROR(INDEX('⚡ COMMAND TRACKER'!$U$5:$U$204,IFERROR(MATCH(SMALL(IF('⚡ COMMAND TRACKER'!$AC$5:$AC$204&lt;="",9999999,'⚡ COMMAND TRACKER'!$AC$5:$AC$204),95),'⚡ COMMAND TRACKER'!$AC$5:$AC$204,0),"")),"")</f>
        <v/>
      </c>
      <c r="H98" s="17" t="str">
        <f aca="false">IFERROR(INDEX('⚡ COMMAND TRACKER'!$X$5:$X$204,IFERROR(MATCH(SMALL(IF('⚡ COMMAND TRACKER'!$AC$5:$AC$204&lt;="",9999999,'⚡ COMMAND TRACKER'!$AC$5:$AC$204),95),'⚡ COMMAND TRACKER'!$AC$5:$AC$204,0),"")),"")</f>
        <v/>
      </c>
      <c r="I98" s="21" t="str">
        <f aca="false">IFERROR(INDEX('⚡ COMMAND TRACKER'!$AB$5:$AB$204,IFERROR(MATCH(SMALL(IF('⚡ COMMAND TRACKER'!$AC$5:$AC$204&lt;="",9999999,'⚡ COMMAND TRACKER'!$AC$5:$AC$204),95),'⚡ COMMAND TRACKER'!$AC$5:$AC$204,0),"")),"")</f>
        <v/>
      </c>
      <c r="J98" s="21" t="str">
        <f aca="false">IFERROR(INDEX('⚡ COMMAND TRACKER'!$AC$5:$AC$204,IFERROR(MATCH(SMALL(IF('⚡ COMMAND TRACKER'!$AC$5:$AC$204&lt;="",9999999,'⚡ COMMAND TRACKER'!$AC$5:$AC$204),95),'⚡ COMMAND TRACKER'!$AC$5:$AC$204,0),"")),"")</f>
        <v/>
      </c>
      <c r="K98" s="23" t="str">
        <f aca="true">IFERROR(IF(J98="","",TODAY()-J98),"")</f>
        <v/>
      </c>
    </row>
    <row r="99" customFormat="false" ht="19.5" hidden="false" customHeight="true" outlineLevel="0" collapsed="false">
      <c r="A99" s="11" t="str">
        <f aca="true">IFERROR(IF(INDEX('⚡ COMMAND TRACKER'!$AC$5:$AC$204,IFERROR(MATCH(SMALL(IF('⚡ COMMAND TRACKER'!$AC$5:$AC$204&lt;="",9999999,'⚡ COMMAND TRACKER'!$AC$5:$AC$204),96),'⚡ COMMAND TRACKER'!$AC$5:$AC$204,0),""))-TODAY()&lt;0,"🚨 OVERDUE",IF(INDEX('⚡ COMMAND TRACKER'!$AC$5:$AC$204,IFERROR(MATCH(SMALL(IF('⚡ COMMAND TRACKER'!$AC$5:$AC$204&lt;="",9999999,'⚡ COMMAND TRACKER'!$AC$5:$AC$204),96),'⚡ COMMAND TRACKER'!$AC$5:$AC$204,0),""))-TODAY()&lt;=1,"🔔 DUE NOW","📋 UPCOMING")),"")</f>
        <v/>
      </c>
      <c r="B99" s="10" t="str">
        <f aca="false">IFERROR(INDEX('⚡ COMMAND TRACKER'!$A$5:$A$204,IFERROR(MATCH(SMALL(IF('⚡ COMMAND TRACKER'!$AC$5:$AC$204&lt;="",9999999,'⚡ COMMAND TRACKER'!$AC$5:$AC$204),96),'⚡ COMMAND TRACKER'!$AC$5:$AC$204,0),"")),"")</f>
        <v/>
      </c>
      <c r="C99" s="10" t="str">
        <f aca="false">IFERROR(INDEX('⚡ COMMAND TRACKER'!$E$5:$E$204,IFERROR(MATCH(SMALL(IF('⚡ COMMAND TRACKER'!$AC$5:$AC$204&lt;="",9999999,'⚡ COMMAND TRACKER'!$AC$5:$AC$204),96),'⚡ COMMAND TRACKER'!$AC$5:$AC$204,0),"")),"")</f>
        <v/>
      </c>
      <c r="D99" s="30" t="str">
        <f aca="false">IFERROR(INDEX('⚡ COMMAND TRACKER'!$B$5:$B$204,IFERROR(MATCH(SMALL(IF('⚡ COMMAND TRACKER'!$AC$5:$AC$204&lt;="",9999999,'⚡ COMMAND TRACKER'!$AC$5:$AC$204),96),'⚡ COMMAND TRACKER'!$AC$5:$AC$204,0),"")),"")</f>
        <v/>
      </c>
      <c r="E99" s="35" t="str">
        <f aca="false">IFERROR(INDEX('⚡ COMMAND TRACKER'!$Y$5:$Y$204,IFERROR(MATCH(SMALL(IF('⚡ COMMAND TRACKER'!$AC$5:$AC$204&lt;="",9999999,'⚡ COMMAND TRACKER'!$AC$5:$AC$204),96),'⚡ COMMAND TRACKER'!$AC$5:$AC$204,0),"")),"")</f>
        <v/>
      </c>
      <c r="F99" s="11" t="str">
        <f aca="false">IFERROR(INDEX('⚡ COMMAND TRACKER'!$Z$5:$Z$204,IFERROR(MATCH(SMALL(IF('⚡ COMMAND TRACKER'!$AC$5:$AC$204&lt;="",9999999,'⚡ COMMAND TRACKER'!$AC$5:$AC$204),96),'⚡ COMMAND TRACKER'!$AC$5:$AC$204,0),"")),"")</f>
        <v/>
      </c>
      <c r="G99" s="11" t="str">
        <f aca="false">IFERROR(INDEX('⚡ COMMAND TRACKER'!$U$5:$U$204,IFERROR(MATCH(SMALL(IF('⚡ COMMAND TRACKER'!$AC$5:$AC$204&lt;="",9999999,'⚡ COMMAND TRACKER'!$AC$5:$AC$204),96),'⚡ COMMAND TRACKER'!$AC$5:$AC$204,0),"")),"")</f>
        <v/>
      </c>
      <c r="H99" s="10" t="str">
        <f aca="false">IFERROR(INDEX('⚡ COMMAND TRACKER'!$X$5:$X$204,IFERROR(MATCH(SMALL(IF('⚡ COMMAND TRACKER'!$AC$5:$AC$204&lt;="",9999999,'⚡ COMMAND TRACKER'!$AC$5:$AC$204),96),'⚡ COMMAND TRACKER'!$AC$5:$AC$204,0),"")),"")</f>
        <v/>
      </c>
      <c r="I99" s="14" t="str">
        <f aca="false">IFERROR(INDEX('⚡ COMMAND TRACKER'!$AB$5:$AB$204,IFERROR(MATCH(SMALL(IF('⚡ COMMAND TRACKER'!$AC$5:$AC$204&lt;="",9999999,'⚡ COMMAND TRACKER'!$AC$5:$AC$204),96),'⚡ COMMAND TRACKER'!$AC$5:$AC$204,0),"")),"")</f>
        <v/>
      </c>
      <c r="J99" s="14" t="str">
        <f aca="false">IFERROR(INDEX('⚡ COMMAND TRACKER'!$AC$5:$AC$204,IFERROR(MATCH(SMALL(IF('⚡ COMMAND TRACKER'!$AC$5:$AC$204&lt;="",9999999,'⚡ COMMAND TRACKER'!$AC$5:$AC$204),96),'⚡ COMMAND TRACKER'!$AC$5:$AC$204,0),"")),"")</f>
        <v/>
      </c>
      <c r="K99" s="16" t="str">
        <f aca="true">IFERROR(IF(J99="","",TODAY()-J99),"")</f>
        <v/>
      </c>
    </row>
    <row r="100" customFormat="false" ht="19.5" hidden="false" customHeight="true" outlineLevel="0" collapsed="false">
      <c r="A100" s="18" t="str">
        <f aca="true">IFERROR(IF(INDEX('⚡ COMMAND TRACKER'!$AC$5:$AC$204,IFERROR(MATCH(SMALL(IF('⚡ COMMAND TRACKER'!$AC$5:$AC$204&lt;="",9999999,'⚡ COMMAND TRACKER'!$AC$5:$AC$204),97),'⚡ COMMAND TRACKER'!$AC$5:$AC$204,0),""))-TODAY()&lt;0,"🚨 OVERDUE",IF(INDEX('⚡ COMMAND TRACKER'!$AC$5:$AC$204,IFERROR(MATCH(SMALL(IF('⚡ COMMAND TRACKER'!$AC$5:$AC$204&lt;="",9999999,'⚡ COMMAND TRACKER'!$AC$5:$AC$204),97),'⚡ COMMAND TRACKER'!$AC$5:$AC$204,0),""))-TODAY()&lt;=1,"🔔 DUE NOW","📋 UPCOMING")),"")</f>
        <v/>
      </c>
      <c r="B100" s="17" t="str">
        <f aca="false">IFERROR(INDEX('⚡ COMMAND TRACKER'!$A$5:$A$204,IFERROR(MATCH(SMALL(IF('⚡ COMMAND TRACKER'!$AC$5:$AC$204&lt;="",9999999,'⚡ COMMAND TRACKER'!$AC$5:$AC$204),97),'⚡ COMMAND TRACKER'!$AC$5:$AC$204,0),"")),"")</f>
        <v/>
      </c>
      <c r="C100" s="17" t="str">
        <f aca="false">IFERROR(INDEX('⚡ COMMAND TRACKER'!$E$5:$E$204,IFERROR(MATCH(SMALL(IF('⚡ COMMAND TRACKER'!$AC$5:$AC$204&lt;="",9999999,'⚡ COMMAND TRACKER'!$AC$5:$AC$204),97),'⚡ COMMAND TRACKER'!$AC$5:$AC$204,0),"")),"")</f>
        <v/>
      </c>
      <c r="D100" s="27" t="str">
        <f aca="false">IFERROR(INDEX('⚡ COMMAND TRACKER'!$B$5:$B$204,IFERROR(MATCH(SMALL(IF('⚡ COMMAND TRACKER'!$AC$5:$AC$204&lt;="",9999999,'⚡ COMMAND TRACKER'!$AC$5:$AC$204),97),'⚡ COMMAND TRACKER'!$AC$5:$AC$204,0),"")),"")</f>
        <v/>
      </c>
      <c r="E100" s="34" t="str">
        <f aca="false">IFERROR(INDEX('⚡ COMMAND TRACKER'!$Y$5:$Y$204,IFERROR(MATCH(SMALL(IF('⚡ COMMAND TRACKER'!$AC$5:$AC$204&lt;="",9999999,'⚡ COMMAND TRACKER'!$AC$5:$AC$204),97),'⚡ COMMAND TRACKER'!$AC$5:$AC$204,0),"")),"")</f>
        <v/>
      </c>
      <c r="F100" s="18" t="str">
        <f aca="false">IFERROR(INDEX('⚡ COMMAND TRACKER'!$Z$5:$Z$204,IFERROR(MATCH(SMALL(IF('⚡ COMMAND TRACKER'!$AC$5:$AC$204&lt;="",9999999,'⚡ COMMAND TRACKER'!$AC$5:$AC$204),97),'⚡ COMMAND TRACKER'!$AC$5:$AC$204,0),"")),"")</f>
        <v/>
      </c>
      <c r="G100" s="18" t="str">
        <f aca="false">IFERROR(INDEX('⚡ COMMAND TRACKER'!$U$5:$U$204,IFERROR(MATCH(SMALL(IF('⚡ COMMAND TRACKER'!$AC$5:$AC$204&lt;="",9999999,'⚡ COMMAND TRACKER'!$AC$5:$AC$204),97),'⚡ COMMAND TRACKER'!$AC$5:$AC$204,0),"")),"")</f>
        <v/>
      </c>
      <c r="H100" s="17" t="str">
        <f aca="false">IFERROR(INDEX('⚡ COMMAND TRACKER'!$X$5:$X$204,IFERROR(MATCH(SMALL(IF('⚡ COMMAND TRACKER'!$AC$5:$AC$204&lt;="",9999999,'⚡ COMMAND TRACKER'!$AC$5:$AC$204),97),'⚡ COMMAND TRACKER'!$AC$5:$AC$204,0),"")),"")</f>
        <v/>
      </c>
      <c r="I100" s="21" t="str">
        <f aca="false">IFERROR(INDEX('⚡ COMMAND TRACKER'!$AB$5:$AB$204,IFERROR(MATCH(SMALL(IF('⚡ COMMAND TRACKER'!$AC$5:$AC$204&lt;="",9999999,'⚡ COMMAND TRACKER'!$AC$5:$AC$204),97),'⚡ COMMAND TRACKER'!$AC$5:$AC$204,0),"")),"")</f>
        <v/>
      </c>
      <c r="J100" s="21" t="str">
        <f aca="false">IFERROR(INDEX('⚡ COMMAND TRACKER'!$AC$5:$AC$204,IFERROR(MATCH(SMALL(IF('⚡ COMMAND TRACKER'!$AC$5:$AC$204&lt;="",9999999,'⚡ COMMAND TRACKER'!$AC$5:$AC$204),97),'⚡ COMMAND TRACKER'!$AC$5:$AC$204,0),"")),"")</f>
        <v/>
      </c>
      <c r="K100" s="23" t="str">
        <f aca="true">IFERROR(IF(J100="","",TODAY()-J100),"")</f>
        <v/>
      </c>
    </row>
    <row r="101" customFormat="false" ht="19.5" hidden="false" customHeight="true" outlineLevel="0" collapsed="false">
      <c r="A101" s="11" t="str">
        <f aca="true">IFERROR(IF(INDEX('⚡ COMMAND TRACKER'!$AC$5:$AC$204,IFERROR(MATCH(SMALL(IF('⚡ COMMAND TRACKER'!$AC$5:$AC$204&lt;="",9999999,'⚡ COMMAND TRACKER'!$AC$5:$AC$204),98),'⚡ COMMAND TRACKER'!$AC$5:$AC$204,0),""))-TODAY()&lt;0,"🚨 OVERDUE",IF(INDEX('⚡ COMMAND TRACKER'!$AC$5:$AC$204,IFERROR(MATCH(SMALL(IF('⚡ COMMAND TRACKER'!$AC$5:$AC$204&lt;="",9999999,'⚡ COMMAND TRACKER'!$AC$5:$AC$204),98),'⚡ COMMAND TRACKER'!$AC$5:$AC$204,0),""))-TODAY()&lt;=1,"🔔 DUE NOW","📋 UPCOMING")),"")</f>
        <v/>
      </c>
      <c r="B101" s="10" t="str">
        <f aca="false">IFERROR(INDEX('⚡ COMMAND TRACKER'!$A$5:$A$204,IFERROR(MATCH(SMALL(IF('⚡ COMMAND TRACKER'!$AC$5:$AC$204&lt;="",9999999,'⚡ COMMAND TRACKER'!$AC$5:$AC$204),98),'⚡ COMMAND TRACKER'!$AC$5:$AC$204,0),"")),"")</f>
        <v/>
      </c>
      <c r="C101" s="10" t="str">
        <f aca="false">IFERROR(INDEX('⚡ COMMAND TRACKER'!$E$5:$E$204,IFERROR(MATCH(SMALL(IF('⚡ COMMAND TRACKER'!$AC$5:$AC$204&lt;="",9999999,'⚡ COMMAND TRACKER'!$AC$5:$AC$204),98),'⚡ COMMAND TRACKER'!$AC$5:$AC$204,0),"")),"")</f>
        <v/>
      </c>
      <c r="D101" s="30" t="str">
        <f aca="false">IFERROR(INDEX('⚡ COMMAND TRACKER'!$B$5:$B$204,IFERROR(MATCH(SMALL(IF('⚡ COMMAND TRACKER'!$AC$5:$AC$204&lt;="",9999999,'⚡ COMMAND TRACKER'!$AC$5:$AC$204),98),'⚡ COMMAND TRACKER'!$AC$5:$AC$204,0),"")),"")</f>
        <v/>
      </c>
      <c r="E101" s="35" t="str">
        <f aca="false">IFERROR(INDEX('⚡ COMMAND TRACKER'!$Y$5:$Y$204,IFERROR(MATCH(SMALL(IF('⚡ COMMAND TRACKER'!$AC$5:$AC$204&lt;="",9999999,'⚡ COMMAND TRACKER'!$AC$5:$AC$204),98),'⚡ COMMAND TRACKER'!$AC$5:$AC$204,0),"")),"")</f>
        <v/>
      </c>
      <c r="F101" s="11" t="str">
        <f aca="false">IFERROR(INDEX('⚡ COMMAND TRACKER'!$Z$5:$Z$204,IFERROR(MATCH(SMALL(IF('⚡ COMMAND TRACKER'!$AC$5:$AC$204&lt;="",9999999,'⚡ COMMAND TRACKER'!$AC$5:$AC$204),98),'⚡ COMMAND TRACKER'!$AC$5:$AC$204,0),"")),"")</f>
        <v/>
      </c>
      <c r="G101" s="11" t="str">
        <f aca="false">IFERROR(INDEX('⚡ COMMAND TRACKER'!$U$5:$U$204,IFERROR(MATCH(SMALL(IF('⚡ COMMAND TRACKER'!$AC$5:$AC$204&lt;="",9999999,'⚡ COMMAND TRACKER'!$AC$5:$AC$204),98),'⚡ COMMAND TRACKER'!$AC$5:$AC$204,0),"")),"")</f>
        <v/>
      </c>
      <c r="H101" s="10" t="str">
        <f aca="false">IFERROR(INDEX('⚡ COMMAND TRACKER'!$X$5:$X$204,IFERROR(MATCH(SMALL(IF('⚡ COMMAND TRACKER'!$AC$5:$AC$204&lt;="",9999999,'⚡ COMMAND TRACKER'!$AC$5:$AC$204),98),'⚡ COMMAND TRACKER'!$AC$5:$AC$204,0),"")),"")</f>
        <v/>
      </c>
      <c r="I101" s="14" t="str">
        <f aca="false">IFERROR(INDEX('⚡ COMMAND TRACKER'!$AB$5:$AB$204,IFERROR(MATCH(SMALL(IF('⚡ COMMAND TRACKER'!$AC$5:$AC$204&lt;="",9999999,'⚡ COMMAND TRACKER'!$AC$5:$AC$204),98),'⚡ COMMAND TRACKER'!$AC$5:$AC$204,0),"")),"")</f>
        <v/>
      </c>
      <c r="J101" s="14" t="str">
        <f aca="false">IFERROR(INDEX('⚡ COMMAND TRACKER'!$AC$5:$AC$204,IFERROR(MATCH(SMALL(IF('⚡ COMMAND TRACKER'!$AC$5:$AC$204&lt;="",9999999,'⚡ COMMAND TRACKER'!$AC$5:$AC$204),98),'⚡ COMMAND TRACKER'!$AC$5:$AC$204,0),"")),"")</f>
        <v/>
      </c>
      <c r="K101" s="16" t="str">
        <f aca="true">IFERROR(IF(J101="","",TODAY()-J101),"")</f>
        <v/>
      </c>
    </row>
    <row r="102" customFormat="false" ht="19.5" hidden="false" customHeight="true" outlineLevel="0" collapsed="false">
      <c r="A102" s="18" t="str">
        <f aca="true">IFERROR(IF(INDEX('⚡ COMMAND TRACKER'!$AC$5:$AC$204,IFERROR(MATCH(SMALL(IF('⚡ COMMAND TRACKER'!$AC$5:$AC$204&lt;="",9999999,'⚡ COMMAND TRACKER'!$AC$5:$AC$204),99),'⚡ COMMAND TRACKER'!$AC$5:$AC$204,0),""))-TODAY()&lt;0,"🚨 OVERDUE",IF(INDEX('⚡ COMMAND TRACKER'!$AC$5:$AC$204,IFERROR(MATCH(SMALL(IF('⚡ COMMAND TRACKER'!$AC$5:$AC$204&lt;="",9999999,'⚡ COMMAND TRACKER'!$AC$5:$AC$204),99),'⚡ COMMAND TRACKER'!$AC$5:$AC$204,0),""))-TODAY()&lt;=1,"🔔 DUE NOW","📋 UPCOMING")),"")</f>
        <v/>
      </c>
      <c r="B102" s="17" t="str">
        <f aca="false">IFERROR(INDEX('⚡ COMMAND TRACKER'!$A$5:$A$204,IFERROR(MATCH(SMALL(IF('⚡ COMMAND TRACKER'!$AC$5:$AC$204&lt;="",9999999,'⚡ COMMAND TRACKER'!$AC$5:$AC$204),99),'⚡ COMMAND TRACKER'!$AC$5:$AC$204,0),"")),"")</f>
        <v/>
      </c>
      <c r="C102" s="17" t="str">
        <f aca="false">IFERROR(INDEX('⚡ COMMAND TRACKER'!$E$5:$E$204,IFERROR(MATCH(SMALL(IF('⚡ COMMAND TRACKER'!$AC$5:$AC$204&lt;="",9999999,'⚡ COMMAND TRACKER'!$AC$5:$AC$204),99),'⚡ COMMAND TRACKER'!$AC$5:$AC$204,0),"")),"")</f>
        <v/>
      </c>
      <c r="D102" s="27" t="str">
        <f aca="false">IFERROR(INDEX('⚡ COMMAND TRACKER'!$B$5:$B$204,IFERROR(MATCH(SMALL(IF('⚡ COMMAND TRACKER'!$AC$5:$AC$204&lt;="",9999999,'⚡ COMMAND TRACKER'!$AC$5:$AC$204),99),'⚡ COMMAND TRACKER'!$AC$5:$AC$204,0),"")),"")</f>
        <v/>
      </c>
      <c r="E102" s="34" t="str">
        <f aca="false">IFERROR(INDEX('⚡ COMMAND TRACKER'!$Y$5:$Y$204,IFERROR(MATCH(SMALL(IF('⚡ COMMAND TRACKER'!$AC$5:$AC$204&lt;="",9999999,'⚡ COMMAND TRACKER'!$AC$5:$AC$204),99),'⚡ COMMAND TRACKER'!$AC$5:$AC$204,0),"")),"")</f>
        <v/>
      </c>
      <c r="F102" s="18" t="str">
        <f aca="false">IFERROR(INDEX('⚡ COMMAND TRACKER'!$Z$5:$Z$204,IFERROR(MATCH(SMALL(IF('⚡ COMMAND TRACKER'!$AC$5:$AC$204&lt;="",9999999,'⚡ COMMAND TRACKER'!$AC$5:$AC$204),99),'⚡ COMMAND TRACKER'!$AC$5:$AC$204,0),"")),"")</f>
        <v/>
      </c>
      <c r="G102" s="18" t="str">
        <f aca="false">IFERROR(INDEX('⚡ COMMAND TRACKER'!$U$5:$U$204,IFERROR(MATCH(SMALL(IF('⚡ COMMAND TRACKER'!$AC$5:$AC$204&lt;="",9999999,'⚡ COMMAND TRACKER'!$AC$5:$AC$204),99),'⚡ COMMAND TRACKER'!$AC$5:$AC$204,0),"")),"")</f>
        <v/>
      </c>
      <c r="H102" s="17" t="str">
        <f aca="false">IFERROR(INDEX('⚡ COMMAND TRACKER'!$X$5:$X$204,IFERROR(MATCH(SMALL(IF('⚡ COMMAND TRACKER'!$AC$5:$AC$204&lt;="",9999999,'⚡ COMMAND TRACKER'!$AC$5:$AC$204),99),'⚡ COMMAND TRACKER'!$AC$5:$AC$204,0),"")),"")</f>
        <v/>
      </c>
      <c r="I102" s="21" t="str">
        <f aca="false">IFERROR(INDEX('⚡ COMMAND TRACKER'!$AB$5:$AB$204,IFERROR(MATCH(SMALL(IF('⚡ COMMAND TRACKER'!$AC$5:$AC$204&lt;="",9999999,'⚡ COMMAND TRACKER'!$AC$5:$AC$204),99),'⚡ COMMAND TRACKER'!$AC$5:$AC$204,0),"")),"")</f>
        <v/>
      </c>
      <c r="J102" s="21" t="str">
        <f aca="false">IFERROR(INDEX('⚡ COMMAND TRACKER'!$AC$5:$AC$204,IFERROR(MATCH(SMALL(IF('⚡ COMMAND TRACKER'!$AC$5:$AC$204&lt;="",9999999,'⚡ COMMAND TRACKER'!$AC$5:$AC$204),99),'⚡ COMMAND TRACKER'!$AC$5:$AC$204,0),"")),"")</f>
        <v/>
      </c>
      <c r="K102" s="23" t="str">
        <f aca="true">IFERROR(IF(J102="","",TODAY()-J102),"")</f>
        <v/>
      </c>
    </row>
    <row r="103" customFormat="false" ht="19.5" hidden="false" customHeight="true" outlineLevel="0" collapsed="false">
      <c r="A103" s="11" t="str">
        <f aca="true">IFERROR(IF(INDEX('⚡ COMMAND TRACKER'!$AC$5:$AC$204,IFERROR(MATCH(SMALL(IF('⚡ COMMAND TRACKER'!$AC$5:$AC$204&lt;="",9999999,'⚡ COMMAND TRACKER'!$AC$5:$AC$204),100),'⚡ COMMAND TRACKER'!$AC$5:$AC$204,0),""))-TODAY()&lt;0,"🚨 OVERDUE",IF(INDEX('⚡ COMMAND TRACKER'!$AC$5:$AC$204,IFERROR(MATCH(SMALL(IF('⚡ COMMAND TRACKER'!$AC$5:$AC$204&lt;="",9999999,'⚡ COMMAND TRACKER'!$AC$5:$AC$204),100),'⚡ COMMAND TRACKER'!$AC$5:$AC$204,0),""))-TODAY()&lt;=1,"🔔 DUE NOW","📋 UPCOMING")),"")</f>
        <v/>
      </c>
      <c r="B103" s="10" t="str">
        <f aca="false">IFERROR(INDEX('⚡ COMMAND TRACKER'!$A$5:$A$204,IFERROR(MATCH(SMALL(IF('⚡ COMMAND TRACKER'!$AC$5:$AC$204&lt;="",9999999,'⚡ COMMAND TRACKER'!$AC$5:$AC$204),100),'⚡ COMMAND TRACKER'!$AC$5:$AC$204,0),"")),"")</f>
        <v/>
      </c>
      <c r="C103" s="10" t="str">
        <f aca="false">IFERROR(INDEX('⚡ COMMAND TRACKER'!$E$5:$E$204,IFERROR(MATCH(SMALL(IF('⚡ COMMAND TRACKER'!$AC$5:$AC$204&lt;="",9999999,'⚡ COMMAND TRACKER'!$AC$5:$AC$204),100),'⚡ COMMAND TRACKER'!$AC$5:$AC$204,0),"")),"")</f>
        <v/>
      </c>
      <c r="D103" s="30" t="str">
        <f aca="false">IFERROR(INDEX('⚡ COMMAND TRACKER'!$B$5:$B$204,IFERROR(MATCH(SMALL(IF('⚡ COMMAND TRACKER'!$AC$5:$AC$204&lt;="",9999999,'⚡ COMMAND TRACKER'!$AC$5:$AC$204),100),'⚡ COMMAND TRACKER'!$AC$5:$AC$204,0),"")),"")</f>
        <v/>
      </c>
      <c r="E103" s="35" t="str">
        <f aca="false">IFERROR(INDEX('⚡ COMMAND TRACKER'!$Y$5:$Y$204,IFERROR(MATCH(SMALL(IF('⚡ COMMAND TRACKER'!$AC$5:$AC$204&lt;="",9999999,'⚡ COMMAND TRACKER'!$AC$5:$AC$204),100),'⚡ COMMAND TRACKER'!$AC$5:$AC$204,0),"")),"")</f>
        <v/>
      </c>
      <c r="F103" s="11" t="str">
        <f aca="false">IFERROR(INDEX('⚡ COMMAND TRACKER'!$Z$5:$Z$204,IFERROR(MATCH(SMALL(IF('⚡ COMMAND TRACKER'!$AC$5:$AC$204&lt;="",9999999,'⚡ COMMAND TRACKER'!$AC$5:$AC$204),100),'⚡ COMMAND TRACKER'!$AC$5:$AC$204,0),"")),"")</f>
        <v/>
      </c>
      <c r="G103" s="11" t="str">
        <f aca="false">IFERROR(INDEX('⚡ COMMAND TRACKER'!$U$5:$U$204,IFERROR(MATCH(SMALL(IF('⚡ COMMAND TRACKER'!$AC$5:$AC$204&lt;="",9999999,'⚡ COMMAND TRACKER'!$AC$5:$AC$204),100),'⚡ COMMAND TRACKER'!$AC$5:$AC$204,0),"")),"")</f>
        <v/>
      </c>
      <c r="H103" s="10" t="str">
        <f aca="false">IFERROR(INDEX('⚡ COMMAND TRACKER'!$X$5:$X$204,IFERROR(MATCH(SMALL(IF('⚡ COMMAND TRACKER'!$AC$5:$AC$204&lt;="",9999999,'⚡ COMMAND TRACKER'!$AC$5:$AC$204),100),'⚡ COMMAND TRACKER'!$AC$5:$AC$204,0),"")),"")</f>
        <v/>
      </c>
      <c r="I103" s="14" t="str">
        <f aca="false">IFERROR(INDEX('⚡ COMMAND TRACKER'!$AB$5:$AB$204,IFERROR(MATCH(SMALL(IF('⚡ COMMAND TRACKER'!$AC$5:$AC$204&lt;="",9999999,'⚡ COMMAND TRACKER'!$AC$5:$AC$204),100),'⚡ COMMAND TRACKER'!$AC$5:$AC$204,0),"")),"")</f>
        <v/>
      </c>
      <c r="J103" s="14" t="str">
        <f aca="false">IFERROR(INDEX('⚡ COMMAND TRACKER'!$AC$5:$AC$204,IFERROR(MATCH(SMALL(IF('⚡ COMMAND TRACKER'!$AC$5:$AC$204&lt;="",9999999,'⚡ COMMAND TRACKER'!$AC$5:$AC$204),100),'⚡ COMMAND TRACKER'!$AC$5:$AC$204,0),"")),"")</f>
        <v/>
      </c>
      <c r="K103" s="16" t="str">
        <f aca="true">IFERROR(IF(J103="","",TODAY()-J103),"")</f>
        <v/>
      </c>
    </row>
  </sheetData>
  <mergeCells count="2">
    <mergeCell ref="A1:K1"/>
    <mergeCell ref="A2:K2"/>
  </mergeCells>
  <conditionalFormatting sqref="K4:K103">
    <cfRule type="cellIs" priority="2" operator="greaterThan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0</formula>
    </cfRule>
  </conditionalFormatting>
  <conditionalFormatting sqref="F4:F103">
    <cfRule type="colorScale" priority="4">
      <colorScale>
        <cfvo type="num" val="0"/>
        <cfvo type="num" val="50"/>
        <cfvo type="num" val="100"/>
        <color rgb="FFEF4444"/>
        <color rgb="FFF59E0B"/>
        <color rgb="FF21E68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5" min="3" style="0" width="18"/>
    <col collapsed="false" customWidth="true" hidden="false" outlineLevel="0" max="6" min="6" style="0" width="3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3"/>
  </cols>
  <sheetData>
    <row r="1" customFormat="false" ht="39.75" hidden="false" customHeight="true" outlineLevel="0" collapsed="false">
      <c r="A1" s="36" t="s">
        <v>47</v>
      </c>
      <c r="B1" s="36"/>
      <c r="C1" s="36"/>
      <c r="D1" s="36"/>
      <c r="E1" s="36"/>
      <c r="F1" s="36"/>
      <c r="G1" s="36"/>
      <c r="H1" s="36"/>
      <c r="I1" s="36"/>
    </row>
    <row r="2" customFormat="false" ht="13.5" hidden="false" customHeight="true" outlineLevel="0" collapsed="false">
      <c r="A2" s="37"/>
      <c r="B2" s="37"/>
      <c r="C2" s="37"/>
      <c r="D2" s="37"/>
      <c r="E2" s="37"/>
      <c r="F2" s="37"/>
      <c r="G2" s="37"/>
      <c r="H2" s="37"/>
      <c r="I2" s="37"/>
    </row>
    <row r="3" customFormat="false" ht="15.75" hidden="false" customHeight="true" outlineLevel="0" collapsed="false">
      <c r="A3" s="37"/>
      <c r="B3" s="38" t="s">
        <v>48</v>
      </c>
      <c r="C3" s="38"/>
      <c r="D3" s="38"/>
      <c r="E3" s="38"/>
      <c r="F3" s="37"/>
      <c r="G3" s="38" t="s">
        <v>49</v>
      </c>
      <c r="H3" s="38"/>
      <c r="I3" s="37"/>
    </row>
    <row r="4" customFormat="false" ht="19.5" hidden="false" customHeight="true" outlineLevel="0" collapsed="false">
      <c r="A4" s="37"/>
      <c r="B4" s="39" t="s">
        <v>50</v>
      </c>
      <c r="C4" s="39"/>
      <c r="D4" s="39" t="s">
        <v>51</v>
      </c>
      <c r="E4" s="39"/>
      <c r="F4" s="37"/>
      <c r="G4" s="40" t="s">
        <v>52</v>
      </c>
      <c r="H4" s="41" t="n">
        <f aca="false">COUNTIF('⚡ COMMAND TRACKER'!Y5:Y204,"&gt;="&amp;80)</f>
        <v>0</v>
      </c>
      <c r="I4" s="37"/>
    </row>
    <row r="5" customFormat="false" ht="19.5" hidden="false" customHeight="true" outlineLevel="0" collapsed="false">
      <c r="A5" s="37"/>
      <c r="B5" s="42" t="n">
        <f aca="false">COUNTIF('⚡ COMMAND TRACKER'!A5:A204,"&lt;&gt;")</f>
        <v>0</v>
      </c>
      <c r="C5" s="42"/>
      <c r="D5" s="42" t="n">
        <f aca="false">COUNTIF('⚡ COMMAND TRACKER'!I5:I204,"&lt;&gt;Not Called")</f>
        <v>200</v>
      </c>
      <c r="E5" s="42"/>
      <c r="F5" s="37"/>
      <c r="G5" s="43" t="s">
        <v>53</v>
      </c>
      <c r="H5" s="44" t="n">
        <f aca="false">COUNTIFS('⚡ COMMAND TRACKER'!Y5:Y204,"&gt;="&amp;60,'⚡ COMMAND TRACKER'!Y5:Y204,"&lt;"&amp;80)</f>
        <v>0</v>
      </c>
      <c r="I5" s="37"/>
    </row>
    <row r="6" customFormat="false" ht="19.5" hidden="false" customHeight="true" outlineLevel="0" collapsed="false">
      <c r="A6" s="37"/>
      <c r="B6" s="45"/>
      <c r="C6" s="45"/>
      <c r="D6" s="45"/>
      <c r="E6" s="45"/>
      <c r="F6" s="37"/>
      <c r="G6" s="46" t="s">
        <v>54</v>
      </c>
      <c r="H6" s="47" t="n">
        <f aca="false">COUNTIFS('⚡ COMMAND TRACKER'!Y5:Y204,"&gt;="&amp;40,'⚡ COMMAND TRACKER'!Y5:Y204,"&lt;"&amp;60)</f>
        <v>0</v>
      </c>
      <c r="I6" s="37"/>
    </row>
    <row r="7" customFormat="false" ht="19.5" hidden="false" customHeight="true" outlineLevel="0" collapsed="false">
      <c r="A7" s="37"/>
      <c r="B7" s="39" t="s">
        <v>55</v>
      </c>
      <c r="C7" s="39"/>
      <c r="D7" s="39" t="s">
        <v>56</v>
      </c>
      <c r="E7" s="39"/>
      <c r="F7" s="37"/>
      <c r="G7" s="48" t="s">
        <v>57</v>
      </c>
      <c r="H7" s="49" t="n">
        <f aca="false">COUNTIFS('⚡ COMMAND TRACKER'!Y5:Y204,"&gt;="&amp;20,'⚡ COMMAND TRACKER'!Y5:Y204,"&lt;"&amp;40)</f>
        <v>0</v>
      </c>
      <c r="I7" s="37"/>
    </row>
    <row r="8" customFormat="false" ht="19.5" hidden="false" customHeight="true" outlineLevel="0" collapsed="false">
      <c r="A8" s="37"/>
      <c r="B8" s="42" t="n">
        <f aca="false">COUNTIF('⚡ COMMAND TRACKER'!I5:I204,"Answered")</f>
        <v>0</v>
      </c>
      <c r="C8" s="42"/>
      <c r="D8" s="42" t="n">
        <f aca="false">COUNTIF('⚡ COMMAND TRACKER'!K5:K204,"Yes")</f>
        <v>0</v>
      </c>
      <c r="E8" s="42"/>
      <c r="F8" s="37"/>
      <c r="G8" s="50" t="s">
        <v>58</v>
      </c>
      <c r="H8" s="51" t="n">
        <f aca="false">COUNTIFS('⚡ COMMAND TRACKER'!Y5:Y204,"&gt;"&amp;0,'⚡ COMMAND TRACKER'!Y5:Y204,"&lt;"&amp;20)</f>
        <v>0</v>
      </c>
      <c r="I8" s="37"/>
    </row>
    <row r="9" customFormat="false" ht="19.5" hidden="false" customHeight="true" outlineLevel="0" collapsed="false">
      <c r="A9" s="37"/>
      <c r="B9" s="42"/>
      <c r="C9" s="42"/>
      <c r="D9" s="45"/>
      <c r="E9" s="45"/>
      <c r="F9" s="37"/>
      <c r="G9" s="52" t="s">
        <v>59</v>
      </c>
      <c r="H9" s="53" t="n">
        <f aca="false">COUNTIF('⚡ COMMAND TRACKER'!I5:I204,"Not Interested")</f>
        <v>0</v>
      </c>
      <c r="I9" s="37"/>
    </row>
    <row r="10" customFormat="false" ht="18" hidden="false" customHeight="true" outlineLevel="0" collapsed="false">
      <c r="A10" s="37"/>
      <c r="B10" s="39" t="s">
        <v>60</v>
      </c>
      <c r="C10" s="39"/>
      <c r="D10" s="39" t="s">
        <v>61</v>
      </c>
      <c r="E10" s="39"/>
      <c r="F10" s="37"/>
      <c r="G10" s="37"/>
      <c r="H10" s="37"/>
      <c r="I10" s="37"/>
    </row>
    <row r="11" customFormat="false" ht="18" hidden="false" customHeight="true" outlineLevel="0" collapsed="false">
      <c r="A11" s="37"/>
      <c r="B11" s="42" t="n">
        <f aca="false">COUNTIF('⚡ COMMAND TRACKER'!I5:I204,"Booked Meeting")</f>
        <v>0</v>
      </c>
      <c r="C11" s="42"/>
      <c r="D11" s="42" t="n">
        <f aca="false">COUNTIF('⚡ COMMAND TRACKER'!I5:I204,"Call Back")</f>
        <v>0</v>
      </c>
      <c r="E11" s="42"/>
      <c r="F11" s="37"/>
      <c r="G11" s="37"/>
      <c r="H11" s="37"/>
      <c r="I11" s="37"/>
    </row>
    <row r="12" customFormat="false" ht="18" hidden="false" customHeight="true" outlineLevel="0" collapsed="false">
      <c r="A12" s="37"/>
      <c r="B12" s="42"/>
      <c r="C12" s="42"/>
      <c r="D12" s="42"/>
      <c r="E12" s="42"/>
      <c r="F12" s="37"/>
      <c r="G12" s="37"/>
      <c r="H12" s="37"/>
      <c r="I12" s="37"/>
    </row>
    <row r="13" customFormat="false" ht="18" hidden="false" customHeight="true" outlineLevel="0" collapsed="false">
      <c r="A13" s="37"/>
      <c r="B13" s="37"/>
      <c r="C13" s="37"/>
      <c r="D13" s="37"/>
      <c r="E13" s="37"/>
      <c r="F13" s="37"/>
      <c r="G13" s="37"/>
      <c r="H13" s="37"/>
      <c r="I13" s="37"/>
    </row>
    <row r="14" customFormat="false" ht="15.75" hidden="false" customHeight="true" outlineLevel="0" collapsed="false">
      <c r="A14" s="37"/>
      <c r="B14" s="38" t="s">
        <v>62</v>
      </c>
      <c r="C14" s="38"/>
      <c r="D14" s="38"/>
      <c r="E14" s="38"/>
      <c r="F14" s="37"/>
      <c r="G14" s="38" t="s">
        <v>63</v>
      </c>
      <c r="H14" s="38"/>
      <c r="I14" s="37"/>
    </row>
    <row r="15" customFormat="false" ht="19.5" hidden="false" customHeight="true" outlineLevel="0" collapsed="false">
      <c r="A15" s="37"/>
      <c r="B15" s="17" t="s">
        <v>64</v>
      </c>
      <c r="C15" s="54" t="n">
        <f aca="false">IFERROR(COUNTIF('⚡ COMMAND TRACKER'!I5:I204,"Answered")/COUNTIF('⚡ COMMAND TRACKER'!I5:I204,"&lt;&gt;Not Called"),0)</f>
        <v>0</v>
      </c>
      <c r="D15" s="54"/>
      <c r="E15" s="54"/>
      <c r="F15" s="37"/>
      <c r="G15" s="17" t="s">
        <v>65</v>
      </c>
      <c r="H15" s="55" t="n">
        <f aca="false">COUNTIF('⚡ COMMAND TRACKER'!AE5:AE204,G15)</f>
        <v>0</v>
      </c>
      <c r="I15" s="37"/>
    </row>
    <row r="16" customFormat="false" ht="19.5" hidden="false" customHeight="true" outlineLevel="0" collapsed="false">
      <c r="A16" s="37"/>
      <c r="B16" s="17" t="s">
        <v>66</v>
      </c>
      <c r="C16" s="54" t="n">
        <f aca="false">IFERROR(COUNTIF('⚡ COMMAND TRACKER'!K5:K204,"Yes")/COUNTIF('⚡ COMMAND TRACKER'!I5:I204,"&lt;&gt;Not Called"),0)</f>
        <v>0</v>
      </c>
      <c r="D16" s="54"/>
      <c r="E16" s="54"/>
      <c r="F16" s="37"/>
      <c r="G16" s="17" t="s">
        <v>67</v>
      </c>
      <c r="H16" s="55" t="n">
        <f aca="false">COUNTIF('⚡ COMMAND TRACKER'!AE5:AE204,G16)</f>
        <v>0</v>
      </c>
      <c r="I16" s="37"/>
    </row>
    <row r="17" customFormat="false" ht="19.5" hidden="false" customHeight="true" outlineLevel="0" collapsed="false">
      <c r="A17" s="37"/>
      <c r="B17" s="17" t="s">
        <v>68</v>
      </c>
      <c r="C17" s="54" t="n">
        <f aca="false">IFERROR(COUNTIF('⚡ COMMAND TRACKER'!I5:I204,"Booked Meeting")/COUNTIF('⚡ COMMAND TRACKER'!I5:I204,"Answered"),0)</f>
        <v>0</v>
      </c>
      <c r="D17" s="54"/>
      <c r="E17" s="54"/>
      <c r="F17" s="37"/>
      <c r="G17" s="17" t="s">
        <v>69</v>
      </c>
      <c r="H17" s="55" t="s">
        <v>70</v>
      </c>
      <c r="I17" s="37"/>
    </row>
    <row r="18" customFormat="false" ht="19.5" hidden="false" customHeight="true" outlineLevel="0" collapsed="false">
      <c r="A18" s="37"/>
      <c r="B18" s="17" t="s">
        <v>71</v>
      </c>
      <c r="C18" s="54" t="n">
        <f aca="false">IFERROR(COUNTIF('⚡ COMMAND TRACKER'!Y5:Y204,"&gt;="&amp;60)/COUNTIF('⚡ COMMAND TRACKER'!A5:A204,"&lt;&gt;"),0)</f>
        <v>0</v>
      </c>
      <c r="D18" s="54"/>
      <c r="E18" s="54"/>
      <c r="F18" s="37"/>
      <c r="G18" s="17" t="s">
        <v>72</v>
      </c>
      <c r="H18" s="55" t="s">
        <v>70</v>
      </c>
      <c r="I18" s="37"/>
    </row>
    <row r="19" customFormat="false" ht="19.5" hidden="false" customHeight="true" outlineLevel="0" collapsed="false">
      <c r="A19" s="37"/>
      <c r="B19" s="17" t="s">
        <v>73</v>
      </c>
      <c r="C19" s="56" t="n">
        <f aca="false">IFERROR(AVERAGEIF('⚡ COMMAND TRACKER'!Y5:Y204,"&gt;"&amp;0),0)</f>
        <v>0</v>
      </c>
      <c r="D19" s="56"/>
      <c r="E19" s="56"/>
      <c r="F19" s="37"/>
      <c r="G19" s="17" t="s">
        <v>74</v>
      </c>
      <c r="H19" s="55" t="s">
        <v>70</v>
      </c>
      <c r="I19" s="37"/>
    </row>
    <row r="20" customFormat="false" ht="19.5" hidden="false" customHeight="true" outlineLevel="0" collapsed="false">
      <c r="A20" s="37"/>
      <c r="B20" s="17" t="s">
        <v>75</v>
      </c>
      <c r="C20" s="57" t="n">
        <f aca="false">IFERROR(AVERAGEIF('⚡ COMMAND TRACKER'!T5:T204,"&gt;"&amp;0),0)</f>
        <v>0</v>
      </c>
      <c r="D20" s="57"/>
      <c r="E20" s="57"/>
      <c r="F20" s="37"/>
      <c r="G20" s="37"/>
      <c r="H20" s="37"/>
      <c r="I20" s="37"/>
    </row>
    <row r="21" customFormat="false" ht="18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</row>
    <row r="22" customFormat="false" ht="18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</row>
    <row r="23" customFormat="false" ht="18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</row>
    <row r="24" customFormat="false" ht="18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</row>
    <row r="25" customFormat="false" ht="18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</row>
    <row r="26" customFormat="false" ht="18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</row>
    <row r="27" customFormat="false" ht="18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</row>
    <row r="28" customFormat="false" ht="18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</row>
    <row r="29" customFormat="false" ht="18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</row>
  </sheetData>
  <mergeCells count="29">
    <mergeCell ref="A1:I1"/>
    <mergeCell ref="B3:E3"/>
    <mergeCell ref="G3:H3"/>
    <mergeCell ref="B4:C4"/>
    <mergeCell ref="D4:E4"/>
    <mergeCell ref="B5:C5"/>
    <mergeCell ref="D5:E5"/>
    <mergeCell ref="B6:C6"/>
    <mergeCell ref="D6:E6"/>
    <mergeCell ref="B7:C7"/>
    <mergeCell ref="D7:E7"/>
    <mergeCell ref="B8:C9"/>
    <mergeCell ref="D8:E8"/>
    <mergeCell ref="B9:C9"/>
    <mergeCell ref="D9:E9"/>
    <mergeCell ref="B10:C10"/>
    <mergeCell ref="D10:E10"/>
    <mergeCell ref="B11:C12"/>
    <mergeCell ref="D11:E12"/>
    <mergeCell ref="B12:C12"/>
    <mergeCell ref="D12:E12"/>
    <mergeCell ref="B14:E14"/>
    <mergeCell ref="G14:H14"/>
    <mergeCell ref="C15:E15"/>
    <mergeCell ref="C16:E16"/>
    <mergeCell ref="C17:E17"/>
    <mergeCell ref="C18:E18"/>
    <mergeCell ref="C19:E19"/>
    <mergeCell ref="C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3"/>
  </cols>
  <sheetData>
    <row r="1" customFormat="false" ht="36" hidden="false" customHeight="true" outlineLevel="0" collapsed="false">
      <c r="A1" s="58" t="s">
        <v>76</v>
      </c>
      <c r="B1" s="58"/>
      <c r="C1" s="58"/>
      <c r="D1" s="58"/>
      <c r="E1" s="58"/>
      <c r="F1" s="58"/>
      <c r="G1" s="58"/>
      <c r="H1" s="58"/>
      <c r="I1" s="58"/>
      <c r="J1" s="58"/>
    </row>
    <row r="2" customFormat="false" ht="13.5" hidden="false" customHeight="true" outlineLevel="0" collapsed="false"/>
    <row r="3" customFormat="false" ht="27.75" hidden="false" customHeight="true" outlineLevel="0" collapsed="false">
      <c r="A3" s="26" t="s">
        <v>40</v>
      </c>
      <c r="B3" s="26" t="s">
        <v>41</v>
      </c>
      <c r="C3" s="26" t="s">
        <v>8</v>
      </c>
      <c r="D3" s="26" t="s">
        <v>14</v>
      </c>
      <c r="E3" s="26" t="s">
        <v>28</v>
      </c>
      <c r="F3" s="26" t="s">
        <v>31</v>
      </c>
      <c r="G3" s="26" t="s">
        <v>32</v>
      </c>
      <c r="H3" s="26" t="s">
        <v>19</v>
      </c>
      <c r="I3" s="26" t="s">
        <v>35</v>
      </c>
      <c r="J3" s="26" t="s">
        <v>37</v>
      </c>
    </row>
    <row r="4" customFormat="false" ht="19.5" hidden="false" customHeight="true" outlineLevel="0" collapsed="false">
      <c r="A4" s="17" t="str">
        <f aca="false">IFERROR(INDEX('⚡ COMMAND TRACKER'!$A$5:$A$204,IFERROR(MATCH(SMALL(IF('⚡ COMMAND TRACKER'!$I$5:$I$204="Booked Meeting",ROW('⚡ COMMAND TRACKER'!$I$5:$I$204)-ROW('⚡ COMMAND TRACKER'!$I$5)+1),1),ROW('⚡ COMMAND TRACKER'!$I$5:$I$204)-ROW('⚡ COMMAND TRACKER'!$I$5)+1,0),"")),"")</f>
        <v/>
      </c>
      <c r="B4" s="17" t="str">
        <f aca="false">IFERROR(INDEX('⚡ COMMAND TRACKER'!$E$5:$E$204,IFERROR(MATCH(SMALL(IF('⚡ COMMAND TRACKER'!$I$5:$I$204="Booked Meeting",ROW('⚡ COMMAND TRACKER'!$I$5:$I$204)-ROW('⚡ COMMAND TRACKER'!$I$5)+1),1),ROW('⚡ COMMAND TRACKER'!$I$5:$I$204)-ROW('⚡ COMMAND TRACKER'!$I$5)+1,0),"")),"")</f>
        <v/>
      </c>
      <c r="C4" s="27" t="str">
        <f aca="false">IFERROR(INDEX('⚡ COMMAND TRACKER'!$B$5:$B$204,IFERROR(MATCH(SMALL(IF('⚡ COMMAND TRACKER'!$I$5:$I$204="Booked Meeting",ROW('⚡ COMMAND TRACKER'!$I$5:$I$204)-ROW('⚡ COMMAND TRACKER'!$I$5)+1),1),ROW('⚡ COMMAND TRACKER'!$I$5:$I$204)-ROW('⚡ COMMAND TRACKER'!$I$5)+1,0),"")),"")</f>
        <v/>
      </c>
      <c r="D4" s="18" t="str">
        <f aca="false">IFERROR(INDEX('⚡ COMMAND TRACKER'!$H$5:$H$204,IFERROR(MATCH(SMALL(IF('⚡ COMMAND TRACKER'!$I$5:$I$204="Booked Meeting",ROW('⚡ COMMAND TRACKER'!$I$5:$I$204)-ROW('⚡ COMMAND TRACKER'!$I$5)+1),1),ROW('⚡ COMMAND TRACKER'!$I$5:$I$204)-ROW('⚡ COMMAND TRACKER'!$I$5)+1,0),"")),"")</f>
        <v/>
      </c>
      <c r="E4" s="18" t="str">
        <f aca="false">IFERROR(INDEX('⚡ COMMAND TRACKER'!$V$5:$V$204,IFERROR(MATCH(SMALL(IF('⚡ COMMAND TRACKER'!$I$5:$I$204="Booked Meeting",ROW('⚡ COMMAND TRACKER'!$I$5:$I$204)-ROW('⚡ COMMAND TRACKER'!$I$5)+1),1),ROW('⚡ COMMAND TRACKER'!$I$5:$I$204)-ROW('⚡ COMMAND TRACKER'!$I$5)+1,0),"")),"")</f>
        <v/>
      </c>
      <c r="F4" s="28" t="str">
        <f aca="false">IFERROR(INDEX('⚡ COMMAND TRACKER'!$Y$5:$Y$204,IFERROR(MATCH(SMALL(IF('⚡ COMMAND TRACKER'!$I$5:$I$204="Booked Meeting",ROW('⚡ COMMAND TRACKER'!$I$5:$I$204)-ROW('⚡ COMMAND TRACKER'!$I$5)+1),1),ROW('⚡ COMMAND TRACKER'!$I$5:$I$204)-ROW('⚡ COMMAND TRACKER'!$I$5)+1,0),"")),"")</f>
        <v/>
      </c>
      <c r="G4" s="18" t="str">
        <f aca="false">IFERROR(INDEX('⚡ COMMAND TRACKER'!$Z$5:$Z$204,IFERROR(MATCH(SMALL(IF('⚡ COMMAND TRACKER'!$I$5:$I$204="Booked Meeting",ROW('⚡ COMMAND TRACKER'!$I$5:$I$204)-ROW('⚡ COMMAND TRACKER'!$I$5)+1),1),ROW('⚡ COMMAND TRACKER'!$I$5:$I$204)-ROW('⚡ COMMAND TRACKER'!$I$5)+1,0),"")),"")</f>
        <v/>
      </c>
      <c r="H4" s="17" t="str">
        <f aca="false">IFERROR(INDEX('⚡ COMMAND TRACKER'!$M$5:$M$204,IFERROR(MATCH(SMALL(IF('⚡ COMMAND TRACKER'!$I$5:$I$204="Booked Meeting",ROW('⚡ COMMAND TRACKER'!$I$5:$I$204)-ROW('⚡ COMMAND TRACKER'!$I$5)+1),1),ROW('⚡ COMMAND TRACKER'!$I$5:$I$204)-ROW('⚡ COMMAND TRACKER'!$I$5)+1,0),"")),"")</f>
        <v/>
      </c>
      <c r="I4" s="21" t="str">
        <f aca="false">IFERROR(INDEX('⚡ COMMAND TRACKER'!$AC$5:$AC$204,IFERROR(MATCH(SMALL(IF('⚡ COMMAND TRACKER'!$I$5:$I$204="Booked Meeting",ROW('⚡ COMMAND TRACKER'!$I$5:$I$204)-ROW('⚡ COMMAND TRACKER'!$I$5)+1),1),ROW('⚡ COMMAND TRACKER'!$I$5:$I$204)-ROW('⚡ COMMAND TRACKER'!$I$5)+1,0),"")),"")</f>
        <v/>
      </c>
      <c r="J4" s="17" t="str">
        <f aca="false">IFERROR(INDEX('⚡ COMMAND TRACKER'!$AE$5:$AE$204,IFERROR(MATCH(SMALL(IF('⚡ COMMAND TRACKER'!$I$5:$I$204="Booked Meeting",ROW('⚡ COMMAND TRACKER'!$I$5:$I$204)-ROW('⚡ COMMAND TRACKER'!$I$5)+1),1),ROW('⚡ COMMAND TRACKER'!$I$5:$I$204)-ROW('⚡ COMMAND TRACKER'!$I$5)+1,0),"")),"")</f>
        <v/>
      </c>
    </row>
    <row r="5" customFormat="false" ht="19.5" hidden="false" customHeight="true" outlineLevel="0" collapsed="false">
      <c r="A5" s="10" t="str">
        <f aca="false">IFERROR(INDEX('⚡ COMMAND TRACKER'!$A$5:$A$204,IFERROR(MATCH(SMALL(IF('⚡ COMMAND TRACKER'!$I$5:$I$204="Booked Meeting",ROW('⚡ COMMAND TRACKER'!$I$5:$I$204)-ROW('⚡ COMMAND TRACKER'!$I$5)+1),2),ROW('⚡ COMMAND TRACKER'!$I$5:$I$204)-ROW('⚡ COMMAND TRACKER'!$I$5)+1,0),"")),"")</f>
        <v/>
      </c>
      <c r="B5" s="10" t="str">
        <f aca="false">IFERROR(INDEX('⚡ COMMAND TRACKER'!$E$5:$E$204,IFERROR(MATCH(SMALL(IF('⚡ COMMAND TRACKER'!$I$5:$I$204="Booked Meeting",ROW('⚡ COMMAND TRACKER'!$I$5:$I$204)-ROW('⚡ COMMAND TRACKER'!$I$5)+1),2),ROW('⚡ COMMAND TRACKER'!$I$5:$I$204)-ROW('⚡ COMMAND TRACKER'!$I$5)+1,0),"")),"")</f>
        <v/>
      </c>
      <c r="C5" s="30" t="str">
        <f aca="false">IFERROR(INDEX('⚡ COMMAND TRACKER'!$B$5:$B$204,IFERROR(MATCH(SMALL(IF('⚡ COMMAND TRACKER'!$I$5:$I$204="Booked Meeting",ROW('⚡ COMMAND TRACKER'!$I$5:$I$204)-ROW('⚡ COMMAND TRACKER'!$I$5)+1),2),ROW('⚡ COMMAND TRACKER'!$I$5:$I$204)-ROW('⚡ COMMAND TRACKER'!$I$5)+1,0),"")),"")</f>
        <v/>
      </c>
      <c r="D5" s="11" t="str">
        <f aca="false">IFERROR(INDEX('⚡ COMMAND TRACKER'!$H$5:$H$204,IFERROR(MATCH(SMALL(IF('⚡ COMMAND TRACKER'!$I$5:$I$204="Booked Meeting",ROW('⚡ COMMAND TRACKER'!$I$5:$I$204)-ROW('⚡ COMMAND TRACKER'!$I$5)+1),2),ROW('⚡ COMMAND TRACKER'!$I$5:$I$204)-ROW('⚡ COMMAND TRACKER'!$I$5)+1,0),"")),"")</f>
        <v/>
      </c>
      <c r="E5" s="11" t="str">
        <f aca="false">IFERROR(INDEX('⚡ COMMAND TRACKER'!$V$5:$V$204,IFERROR(MATCH(SMALL(IF('⚡ COMMAND TRACKER'!$I$5:$I$204="Booked Meeting",ROW('⚡ COMMAND TRACKER'!$I$5:$I$204)-ROW('⚡ COMMAND TRACKER'!$I$5)+1),2),ROW('⚡ COMMAND TRACKER'!$I$5:$I$204)-ROW('⚡ COMMAND TRACKER'!$I$5)+1,0),"")),"")</f>
        <v/>
      </c>
      <c r="F5" s="31" t="str">
        <f aca="false">IFERROR(INDEX('⚡ COMMAND TRACKER'!$Y$5:$Y$204,IFERROR(MATCH(SMALL(IF('⚡ COMMAND TRACKER'!$I$5:$I$204="Booked Meeting",ROW('⚡ COMMAND TRACKER'!$I$5:$I$204)-ROW('⚡ COMMAND TRACKER'!$I$5)+1),2),ROW('⚡ COMMAND TRACKER'!$I$5:$I$204)-ROW('⚡ COMMAND TRACKER'!$I$5)+1,0),"")),"")</f>
        <v/>
      </c>
      <c r="G5" s="11" t="str">
        <f aca="false">IFERROR(INDEX('⚡ COMMAND TRACKER'!$Z$5:$Z$204,IFERROR(MATCH(SMALL(IF('⚡ COMMAND TRACKER'!$I$5:$I$204="Booked Meeting",ROW('⚡ COMMAND TRACKER'!$I$5:$I$204)-ROW('⚡ COMMAND TRACKER'!$I$5)+1),2),ROW('⚡ COMMAND TRACKER'!$I$5:$I$204)-ROW('⚡ COMMAND TRACKER'!$I$5)+1,0),"")),"")</f>
        <v/>
      </c>
      <c r="H5" s="10" t="str">
        <f aca="false">IFERROR(INDEX('⚡ COMMAND TRACKER'!$M$5:$M$204,IFERROR(MATCH(SMALL(IF('⚡ COMMAND TRACKER'!$I$5:$I$204="Booked Meeting",ROW('⚡ COMMAND TRACKER'!$I$5:$I$204)-ROW('⚡ COMMAND TRACKER'!$I$5)+1),2),ROW('⚡ COMMAND TRACKER'!$I$5:$I$204)-ROW('⚡ COMMAND TRACKER'!$I$5)+1,0),"")),"")</f>
        <v/>
      </c>
      <c r="I5" s="14" t="str">
        <f aca="false">IFERROR(INDEX('⚡ COMMAND TRACKER'!$AC$5:$AC$204,IFERROR(MATCH(SMALL(IF('⚡ COMMAND TRACKER'!$I$5:$I$204="Booked Meeting",ROW('⚡ COMMAND TRACKER'!$I$5:$I$204)-ROW('⚡ COMMAND TRACKER'!$I$5)+1),2),ROW('⚡ COMMAND TRACKER'!$I$5:$I$204)-ROW('⚡ COMMAND TRACKER'!$I$5)+1,0),"")),"")</f>
        <v/>
      </c>
      <c r="J5" s="10" t="str">
        <f aca="false">IFERROR(INDEX('⚡ COMMAND TRACKER'!$AE$5:$AE$204,IFERROR(MATCH(SMALL(IF('⚡ COMMAND TRACKER'!$I$5:$I$204="Booked Meeting",ROW('⚡ COMMAND TRACKER'!$I$5:$I$204)-ROW('⚡ COMMAND TRACKER'!$I$5)+1),2),ROW('⚡ COMMAND TRACKER'!$I$5:$I$204)-ROW('⚡ COMMAND TRACKER'!$I$5)+1,0),"")),"")</f>
        <v/>
      </c>
    </row>
    <row r="6" customFormat="false" ht="19.5" hidden="false" customHeight="true" outlineLevel="0" collapsed="false">
      <c r="A6" s="17" t="str">
        <f aca="false">IFERROR(INDEX('⚡ COMMAND TRACKER'!$A$5:$A$204,IFERROR(MATCH(SMALL(IF('⚡ COMMAND TRACKER'!$I$5:$I$204="Booked Meeting",ROW('⚡ COMMAND TRACKER'!$I$5:$I$204)-ROW('⚡ COMMAND TRACKER'!$I$5)+1),3),ROW('⚡ COMMAND TRACKER'!$I$5:$I$204)-ROW('⚡ COMMAND TRACKER'!$I$5)+1,0),"")),"")</f>
        <v/>
      </c>
      <c r="B6" s="17" t="str">
        <f aca="false">IFERROR(INDEX('⚡ COMMAND TRACKER'!$E$5:$E$204,IFERROR(MATCH(SMALL(IF('⚡ COMMAND TRACKER'!$I$5:$I$204="Booked Meeting",ROW('⚡ COMMAND TRACKER'!$I$5:$I$204)-ROW('⚡ COMMAND TRACKER'!$I$5)+1),3),ROW('⚡ COMMAND TRACKER'!$I$5:$I$204)-ROW('⚡ COMMAND TRACKER'!$I$5)+1,0),"")),"")</f>
        <v/>
      </c>
      <c r="C6" s="27" t="str">
        <f aca="false">IFERROR(INDEX('⚡ COMMAND TRACKER'!$B$5:$B$204,IFERROR(MATCH(SMALL(IF('⚡ COMMAND TRACKER'!$I$5:$I$204="Booked Meeting",ROW('⚡ COMMAND TRACKER'!$I$5:$I$204)-ROW('⚡ COMMAND TRACKER'!$I$5)+1),3),ROW('⚡ COMMAND TRACKER'!$I$5:$I$204)-ROW('⚡ COMMAND TRACKER'!$I$5)+1,0),"")),"")</f>
        <v/>
      </c>
      <c r="D6" s="18" t="str">
        <f aca="false">IFERROR(INDEX('⚡ COMMAND TRACKER'!$H$5:$H$204,IFERROR(MATCH(SMALL(IF('⚡ COMMAND TRACKER'!$I$5:$I$204="Booked Meeting",ROW('⚡ COMMAND TRACKER'!$I$5:$I$204)-ROW('⚡ COMMAND TRACKER'!$I$5)+1),3),ROW('⚡ COMMAND TRACKER'!$I$5:$I$204)-ROW('⚡ COMMAND TRACKER'!$I$5)+1,0),"")),"")</f>
        <v/>
      </c>
      <c r="E6" s="18" t="str">
        <f aca="false">IFERROR(INDEX('⚡ COMMAND TRACKER'!$V$5:$V$204,IFERROR(MATCH(SMALL(IF('⚡ COMMAND TRACKER'!$I$5:$I$204="Booked Meeting",ROW('⚡ COMMAND TRACKER'!$I$5:$I$204)-ROW('⚡ COMMAND TRACKER'!$I$5)+1),3),ROW('⚡ COMMAND TRACKER'!$I$5:$I$204)-ROW('⚡ COMMAND TRACKER'!$I$5)+1,0),"")),"")</f>
        <v/>
      </c>
      <c r="F6" s="28" t="str">
        <f aca="false">IFERROR(INDEX('⚡ COMMAND TRACKER'!$Y$5:$Y$204,IFERROR(MATCH(SMALL(IF('⚡ COMMAND TRACKER'!$I$5:$I$204="Booked Meeting",ROW('⚡ COMMAND TRACKER'!$I$5:$I$204)-ROW('⚡ COMMAND TRACKER'!$I$5)+1),3),ROW('⚡ COMMAND TRACKER'!$I$5:$I$204)-ROW('⚡ COMMAND TRACKER'!$I$5)+1,0),"")),"")</f>
        <v/>
      </c>
      <c r="G6" s="18" t="str">
        <f aca="false">IFERROR(INDEX('⚡ COMMAND TRACKER'!$Z$5:$Z$204,IFERROR(MATCH(SMALL(IF('⚡ COMMAND TRACKER'!$I$5:$I$204="Booked Meeting",ROW('⚡ COMMAND TRACKER'!$I$5:$I$204)-ROW('⚡ COMMAND TRACKER'!$I$5)+1),3),ROW('⚡ COMMAND TRACKER'!$I$5:$I$204)-ROW('⚡ COMMAND TRACKER'!$I$5)+1,0),"")),"")</f>
        <v/>
      </c>
      <c r="H6" s="17" t="str">
        <f aca="false">IFERROR(INDEX('⚡ COMMAND TRACKER'!$M$5:$M$204,IFERROR(MATCH(SMALL(IF('⚡ COMMAND TRACKER'!$I$5:$I$204="Booked Meeting",ROW('⚡ COMMAND TRACKER'!$I$5:$I$204)-ROW('⚡ COMMAND TRACKER'!$I$5)+1),3),ROW('⚡ COMMAND TRACKER'!$I$5:$I$204)-ROW('⚡ COMMAND TRACKER'!$I$5)+1,0),"")),"")</f>
        <v/>
      </c>
      <c r="I6" s="21" t="str">
        <f aca="false">IFERROR(INDEX('⚡ COMMAND TRACKER'!$AC$5:$AC$204,IFERROR(MATCH(SMALL(IF('⚡ COMMAND TRACKER'!$I$5:$I$204="Booked Meeting",ROW('⚡ COMMAND TRACKER'!$I$5:$I$204)-ROW('⚡ COMMAND TRACKER'!$I$5)+1),3),ROW('⚡ COMMAND TRACKER'!$I$5:$I$204)-ROW('⚡ COMMAND TRACKER'!$I$5)+1,0),"")),"")</f>
        <v/>
      </c>
      <c r="J6" s="17" t="str">
        <f aca="false">IFERROR(INDEX('⚡ COMMAND TRACKER'!$AE$5:$AE$204,IFERROR(MATCH(SMALL(IF('⚡ COMMAND TRACKER'!$I$5:$I$204="Booked Meeting",ROW('⚡ COMMAND TRACKER'!$I$5:$I$204)-ROW('⚡ COMMAND TRACKER'!$I$5)+1),3),ROW('⚡ COMMAND TRACKER'!$I$5:$I$204)-ROW('⚡ COMMAND TRACKER'!$I$5)+1,0),"")),"")</f>
        <v/>
      </c>
    </row>
    <row r="7" customFormat="false" ht="19.5" hidden="false" customHeight="true" outlineLevel="0" collapsed="false">
      <c r="A7" s="10" t="str">
        <f aca="false">IFERROR(INDEX('⚡ COMMAND TRACKER'!$A$5:$A$204,IFERROR(MATCH(SMALL(IF('⚡ COMMAND TRACKER'!$I$5:$I$204="Booked Meeting",ROW('⚡ COMMAND TRACKER'!$I$5:$I$204)-ROW('⚡ COMMAND TRACKER'!$I$5)+1),4),ROW('⚡ COMMAND TRACKER'!$I$5:$I$204)-ROW('⚡ COMMAND TRACKER'!$I$5)+1,0),"")),"")</f>
        <v/>
      </c>
      <c r="B7" s="10" t="str">
        <f aca="false">IFERROR(INDEX('⚡ COMMAND TRACKER'!$E$5:$E$204,IFERROR(MATCH(SMALL(IF('⚡ COMMAND TRACKER'!$I$5:$I$204="Booked Meeting",ROW('⚡ COMMAND TRACKER'!$I$5:$I$204)-ROW('⚡ COMMAND TRACKER'!$I$5)+1),4),ROW('⚡ COMMAND TRACKER'!$I$5:$I$204)-ROW('⚡ COMMAND TRACKER'!$I$5)+1,0),"")),"")</f>
        <v/>
      </c>
      <c r="C7" s="30" t="str">
        <f aca="false">IFERROR(INDEX('⚡ COMMAND TRACKER'!$B$5:$B$204,IFERROR(MATCH(SMALL(IF('⚡ COMMAND TRACKER'!$I$5:$I$204="Booked Meeting",ROW('⚡ COMMAND TRACKER'!$I$5:$I$204)-ROW('⚡ COMMAND TRACKER'!$I$5)+1),4),ROW('⚡ COMMAND TRACKER'!$I$5:$I$204)-ROW('⚡ COMMAND TRACKER'!$I$5)+1,0),"")),"")</f>
        <v/>
      </c>
      <c r="D7" s="11" t="str">
        <f aca="false">IFERROR(INDEX('⚡ COMMAND TRACKER'!$H$5:$H$204,IFERROR(MATCH(SMALL(IF('⚡ COMMAND TRACKER'!$I$5:$I$204="Booked Meeting",ROW('⚡ COMMAND TRACKER'!$I$5:$I$204)-ROW('⚡ COMMAND TRACKER'!$I$5)+1),4),ROW('⚡ COMMAND TRACKER'!$I$5:$I$204)-ROW('⚡ COMMAND TRACKER'!$I$5)+1,0),"")),"")</f>
        <v/>
      </c>
      <c r="E7" s="11" t="str">
        <f aca="false">IFERROR(INDEX('⚡ COMMAND TRACKER'!$V$5:$V$204,IFERROR(MATCH(SMALL(IF('⚡ COMMAND TRACKER'!$I$5:$I$204="Booked Meeting",ROW('⚡ COMMAND TRACKER'!$I$5:$I$204)-ROW('⚡ COMMAND TRACKER'!$I$5)+1),4),ROW('⚡ COMMAND TRACKER'!$I$5:$I$204)-ROW('⚡ COMMAND TRACKER'!$I$5)+1,0),"")),"")</f>
        <v/>
      </c>
      <c r="F7" s="31" t="str">
        <f aca="false">IFERROR(INDEX('⚡ COMMAND TRACKER'!$Y$5:$Y$204,IFERROR(MATCH(SMALL(IF('⚡ COMMAND TRACKER'!$I$5:$I$204="Booked Meeting",ROW('⚡ COMMAND TRACKER'!$I$5:$I$204)-ROW('⚡ COMMAND TRACKER'!$I$5)+1),4),ROW('⚡ COMMAND TRACKER'!$I$5:$I$204)-ROW('⚡ COMMAND TRACKER'!$I$5)+1,0),"")),"")</f>
        <v/>
      </c>
      <c r="G7" s="11" t="str">
        <f aca="false">IFERROR(INDEX('⚡ COMMAND TRACKER'!$Z$5:$Z$204,IFERROR(MATCH(SMALL(IF('⚡ COMMAND TRACKER'!$I$5:$I$204="Booked Meeting",ROW('⚡ COMMAND TRACKER'!$I$5:$I$204)-ROW('⚡ COMMAND TRACKER'!$I$5)+1),4),ROW('⚡ COMMAND TRACKER'!$I$5:$I$204)-ROW('⚡ COMMAND TRACKER'!$I$5)+1,0),"")),"")</f>
        <v/>
      </c>
      <c r="H7" s="10" t="str">
        <f aca="false">IFERROR(INDEX('⚡ COMMAND TRACKER'!$M$5:$M$204,IFERROR(MATCH(SMALL(IF('⚡ COMMAND TRACKER'!$I$5:$I$204="Booked Meeting",ROW('⚡ COMMAND TRACKER'!$I$5:$I$204)-ROW('⚡ COMMAND TRACKER'!$I$5)+1),4),ROW('⚡ COMMAND TRACKER'!$I$5:$I$204)-ROW('⚡ COMMAND TRACKER'!$I$5)+1,0),"")),"")</f>
        <v/>
      </c>
      <c r="I7" s="14" t="str">
        <f aca="false">IFERROR(INDEX('⚡ COMMAND TRACKER'!$AC$5:$AC$204,IFERROR(MATCH(SMALL(IF('⚡ COMMAND TRACKER'!$I$5:$I$204="Booked Meeting",ROW('⚡ COMMAND TRACKER'!$I$5:$I$204)-ROW('⚡ COMMAND TRACKER'!$I$5)+1),4),ROW('⚡ COMMAND TRACKER'!$I$5:$I$204)-ROW('⚡ COMMAND TRACKER'!$I$5)+1,0),"")),"")</f>
        <v/>
      </c>
      <c r="J7" s="10" t="str">
        <f aca="false">IFERROR(INDEX('⚡ COMMAND TRACKER'!$AE$5:$AE$204,IFERROR(MATCH(SMALL(IF('⚡ COMMAND TRACKER'!$I$5:$I$204="Booked Meeting",ROW('⚡ COMMAND TRACKER'!$I$5:$I$204)-ROW('⚡ COMMAND TRACKER'!$I$5)+1),4),ROW('⚡ COMMAND TRACKER'!$I$5:$I$204)-ROW('⚡ COMMAND TRACKER'!$I$5)+1,0),"")),"")</f>
        <v/>
      </c>
    </row>
    <row r="8" customFormat="false" ht="19.5" hidden="false" customHeight="true" outlineLevel="0" collapsed="false">
      <c r="A8" s="17" t="str">
        <f aca="false">IFERROR(INDEX('⚡ COMMAND TRACKER'!$A$5:$A$204,IFERROR(MATCH(SMALL(IF('⚡ COMMAND TRACKER'!$I$5:$I$204="Booked Meeting",ROW('⚡ COMMAND TRACKER'!$I$5:$I$204)-ROW('⚡ COMMAND TRACKER'!$I$5)+1),5),ROW('⚡ COMMAND TRACKER'!$I$5:$I$204)-ROW('⚡ COMMAND TRACKER'!$I$5)+1,0),"")),"")</f>
        <v/>
      </c>
      <c r="B8" s="17" t="str">
        <f aca="false">IFERROR(INDEX('⚡ COMMAND TRACKER'!$E$5:$E$204,IFERROR(MATCH(SMALL(IF('⚡ COMMAND TRACKER'!$I$5:$I$204="Booked Meeting",ROW('⚡ COMMAND TRACKER'!$I$5:$I$204)-ROW('⚡ COMMAND TRACKER'!$I$5)+1),5),ROW('⚡ COMMAND TRACKER'!$I$5:$I$204)-ROW('⚡ COMMAND TRACKER'!$I$5)+1,0),"")),"")</f>
        <v/>
      </c>
      <c r="C8" s="27" t="str">
        <f aca="false">IFERROR(INDEX('⚡ COMMAND TRACKER'!$B$5:$B$204,IFERROR(MATCH(SMALL(IF('⚡ COMMAND TRACKER'!$I$5:$I$204="Booked Meeting",ROW('⚡ COMMAND TRACKER'!$I$5:$I$204)-ROW('⚡ COMMAND TRACKER'!$I$5)+1),5),ROW('⚡ COMMAND TRACKER'!$I$5:$I$204)-ROW('⚡ COMMAND TRACKER'!$I$5)+1,0),"")),"")</f>
        <v/>
      </c>
      <c r="D8" s="18" t="str">
        <f aca="false">IFERROR(INDEX('⚡ COMMAND TRACKER'!$H$5:$H$204,IFERROR(MATCH(SMALL(IF('⚡ COMMAND TRACKER'!$I$5:$I$204="Booked Meeting",ROW('⚡ COMMAND TRACKER'!$I$5:$I$204)-ROW('⚡ COMMAND TRACKER'!$I$5)+1),5),ROW('⚡ COMMAND TRACKER'!$I$5:$I$204)-ROW('⚡ COMMAND TRACKER'!$I$5)+1,0),"")),"")</f>
        <v/>
      </c>
      <c r="E8" s="18" t="str">
        <f aca="false">IFERROR(INDEX('⚡ COMMAND TRACKER'!$V$5:$V$204,IFERROR(MATCH(SMALL(IF('⚡ COMMAND TRACKER'!$I$5:$I$204="Booked Meeting",ROW('⚡ COMMAND TRACKER'!$I$5:$I$204)-ROW('⚡ COMMAND TRACKER'!$I$5)+1),5),ROW('⚡ COMMAND TRACKER'!$I$5:$I$204)-ROW('⚡ COMMAND TRACKER'!$I$5)+1,0),"")),"")</f>
        <v/>
      </c>
      <c r="F8" s="28" t="str">
        <f aca="false">IFERROR(INDEX('⚡ COMMAND TRACKER'!$Y$5:$Y$204,IFERROR(MATCH(SMALL(IF('⚡ COMMAND TRACKER'!$I$5:$I$204="Booked Meeting",ROW('⚡ COMMAND TRACKER'!$I$5:$I$204)-ROW('⚡ COMMAND TRACKER'!$I$5)+1),5),ROW('⚡ COMMAND TRACKER'!$I$5:$I$204)-ROW('⚡ COMMAND TRACKER'!$I$5)+1,0),"")),"")</f>
        <v/>
      </c>
      <c r="G8" s="18" t="str">
        <f aca="false">IFERROR(INDEX('⚡ COMMAND TRACKER'!$Z$5:$Z$204,IFERROR(MATCH(SMALL(IF('⚡ COMMAND TRACKER'!$I$5:$I$204="Booked Meeting",ROW('⚡ COMMAND TRACKER'!$I$5:$I$204)-ROW('⚡ COMMAND TRACKER'!$I$5)+1),5),ROW('⚡ COMMAND TRACKER'!$I$5:$I$204)-ROW('⚡ COMMAND TRACKER'!$I$5)+1,0),"")),"")</f>
        <v/>
      </c>
      <c r="H8" s="17" t="str">
        <f aca="false">IFERROR(INDEX('⚡ COMMAND TRACKER'!$M$5:$M$204,IFERROR(MATCH(SMALL(IF('⚡ COMMAND TRACKER'!$I$5:$I$204="Booked Meeting",ROW('⚡ COMMAND TRACKER'!$I$5:$I$204)-ROW('⚡ COMMAND TRACKER'!$I$5)+1),5),ROW('⚡ COMMAND TRACKER'!$I$5:$I$204)-ROW('⚡ COMMAND TRACKER'!$I$5)+1,0),"")),"")</f>
        <v/>
      </c>
      <c r="I8" s="21" t="str">
        <f aca="false">IFERROR(INDEX('⚡ COMMAND TRACKER'!$AC$5:$AC$204,IFERROR(MATCH(SMALL(IF('⚡ COMMAND TRACKER'!$I$5:$I$204="Booked Meeting",ROW('⚡ COMMAND TRACKER'!$I$5:$I$204)-ROW('⚡ COMMAND TRACKER'!$I$5)+1),5),ROW('⚡ COMMAND TRACKER'!$I$5:$I$204)-ROW('⚡ COMMAND TRACKER'!$I$5)+1,0),"")),"")</f>
        <v/>
      </c>
      <c r="J8" s="17" t="str">
        <f aca="false">IFERROR(INDEX('⚡ COMMAND TRACKER'!$AE$5:$AE$204,IFERROR(MATCH(SMALL(IF('⚡ COMMAND TRACKER'!$I$5:$I$204="Booked Meeting",ROW('⚡ COMMAND TRACKER'!$I$5:$I$204)-ROW('⚡ COMMAND TRACKER'!$I$5)+1),5),ROW('⚡ COMMAND TRACKER'!$I$5:$I$204)-ROW('⚡ COMMAND TRACKER'!$I$5)+1,0),"")),"")</f>
        <v/>
      </c>
    </row>
    <row r="9" customFormat="false" ht="19.5" hidden="false" customHeight="true" outlineLevel="0" collapsed="false">
      <c r="A9" s="10" t="str">
        <f aca="false">IFERROR(INDEX('⚡ COMMAND TRACKER'!$A$5:$A$204,IFERROR(MATCH(SMALL(IF('⚡ COMMAND TRACKER'!$I$5:$I$204="Booked Meeting",ROW('⚡ COMMAND TRACKER'!$I$5:$I$204)-ROW('⚡ COMMAND TRACKER'!$I$5)+1),6),ROW('⚡ COMMAND TRACKER'!$I$5:$I$204)-ROW('⚡ COMMAND TRACKER'!$I$5)+1,0),"")),"")</f>
        <v/>
      </c>
      <c r="B9" s="10" t="str">
        <f aca="false">IFERROR(INDEX('⚡ COMMAND TRACKER'!$E$5:$E$204,IFERROR(MATCH(SMALL(IF('⚡ COMMAND TRACKER'!$I$5:$I$204="Booked Meeting",ROW('⚡ COMMAND TRACKER'!$I$5:$I$204)-ROW('⚡ COMMAND TRACKER'!$I$5)+1),6),ROW('⚡ COMMAND TRACKER'!$I$5:$I$204)-ROW('⚡ COMMAND TRACKER'!$I$5)+1,0),"")),"")</f>
        <v/>
      </c>
      <c r="C9" s="30" t="str">
        <f aca="false">IFERROR(INDEX('⚡ COMMAND TRACKER'!$B$5:$B$204,IFERROR(MATCH(SMALL(IF('⚡ COMMAND TRACKER'!$I$5:$I$204="Booked Meeting",ROW('⚡ COMMAND TRACKER'!$I$5:$I$204)-ROW('⚡ COMMAND TRACKER'!$I$5)+1),6),ROW('⚡ COMMAND TRACKER'!$I$5:$I$204)-ROW('⚡ COMMAND TRACKER'!$I$5)+1,0),"")),"")</f>
        <v/>
      </c>
      <c r="D9" s="11" t="str">
        <f aca="false">IFERROR(INDEX('⚡ COMMAND TRACKER'!$H$5:$H$204,IFERROR(MATCH(SMALL(IF('⚡ COMMAND TRACKER'!$I$5:$I$204="Booked Meeting",ROW('⚡ COMMAND TRACKER'!$I$5:$I$204)-ROW('⚡ COMMAND TRACKER'!$I$5)+1),6),ROW('⚡ COMMAND TRACKER'!$I$5:$I$204)-ROW('⚡ COMMAND TRACKER'!$I$5)+1,0),"")),"")</f>
        <v/>
      </c>
      <c r="E9" s="11" t="str">
        <f aca="false">IFERROR(INDEX('⚡ COMMAND TRACKER'!$V$5:$V$204,IFERROR(MATCH(SMALL(IF('⚡ COMMAND TRACKER'!$I$5:$I$204="Booked Meeting",ROW('⚡ COMMAND TRACKER'!$I$5:$I$204)-ROW('⚡ COMMAND TRACKER'!$I$5)+1),6),ROW('⚡ COMMAND TRACKER'!$I$5:$I$204)-ROW('⚡ COMMAND TRACKER'!$I$5)+1,0),"")),"")</f>
        <v/>
      </c>
      <c r="F9" s="31" t="str">
        <f aca="false">IFERROR(INDEX('⚡ COMMAND TRACKER'!$Y$5:$Y$204,IFERROR(MATCH(SMALL(IF('⚡ COMMAND TRACKER'!$I$5:$I$204="Booked Meeting",ROW('⚡ COMMAND TRACKER'!$I$5:$I$204)-ROW('⚡ COMMAND TRACKER'!$I$5)+1),6),ROW('⚡ COMMAND TRACKER'!$I$5:$I$204)-ROW('⚡ COMMAND TRACKER'!$I$5)+1,0),"")),"")</f>
        <v/>
      </c>
      <c r="G9" s="11" t="str">
        <f aca="false">IFERROR(INDEX('⚡ COMMAND TRACKER'!$Z$5:$Z$204,IFERROR(MATCH(SMALL(IF('⚡ COMMAND TRACKER'!$I$5:$I$204="Booked Meeting",ROW('⚡ COMMAND TRACKER'!$I$5:$I$204)-ROW('⚡ COMMAND TRACKER'!$I$5)+1),6),ROW('⚡ COMMAND TRACKER'!$I$5:$I$204)-ROW('⚡ COMMAND TRACKER'!$I$5)+1,0),"")),"")</f>
        <v/>
      </c>
      <c r="H9" s="10" t="str">
        <f aca="false">IFERROR(INDEX('⚡ COMMAND TRACKER'!$M$5:$M$204,IFERROR(MATCH(SMALL(IF('⚡ COMMAND TRACKER'!$I$5:$I$204="Booked Meeting",ROW('⚡ COMMAND TRACKER'!$I$5:$I$204)-ROW('⚡ COMMAND TRACKER'!$I$5)+1),6),ROW('⚡ COMMAND TRACKER'!$I$5:$I$204)-ROW('⚡ COMMAND TRACKER'!$I$5)+1,0),"")),"")</f>
        <v/>
      </c>
      <c r="I9" s="14" t="str">
        <f aca="false">IFERROR(INDEX('⚡ COMMAND TRACKER'!$AC$5:$AC$204,IFERROR(MATCH(SMALL(IF('⚡ COMMAND TRACKER'!$I$5:$I$204="Booked Meeting",ROW('⚡ COMMAND TRACKER'!$I$5:$I$204)-ROW('⚡ COMMAND TRACKER'!$I$5)+1),6),ROW('⚡ COMMAND TRACKER'!$I$5:$I$204)-ROW('⚡ COMMAND TRACKER'!$I$5)+1,0),"")),"")</f>
        <v/>
      </c>
      <c r="J9" s="10" t="str">
        <f aca="false">IFERROR(INDEX('⚡ COMMAND TRACKER'!$AE$5:$AE$204,IFERROR(MATCH(SMALL(IF('⚡ COMMAND TRACKER'!$I$5:$I$204="Booked Meeting",ROW('⚡ COMMAND TRACKER'!$I$5:$I$204)-ROW('⚡ COMMAND TRACKER'!$I$5)+1),6),ROW('⚡ COMMAND TRACKER'!$I$5:$I$204)-ROW('⚡ COMMAND TRACKER'!$I$5)+1,0),"")),"")</f>
        <v/>
      </c>
    </row>
    <row r="10" customFormat="false" ht="19.5" hidden="false" customHeight="true" outlineLevel="0" collapsed="false">
      <c r="A10" s="17" t="str">
        <f aca="false">IFERROR(INDEX('⚡ COMMAND TRACKER'!$A$5:$A$204,IFERROR(MATCH(SMALL(IF('⚡ COMMAND TRACKER'!$I$5:$I$204="Booked Meeting",ROW('⚡ COMMAND TRACKER'!$I$5:$I$204)-ROW('⚡ COMMAND TRACKER'!$I$5)+1),7),ROW('⚡ COMMAND TRACKER'!$I$5:$I$204)-ROW('⚡ COMMAND TRACKER'!$I$5)+1,0),"")),"")</f>
        <v/>
      </c>
      <c r="B10" s="17" t="str">
        <f aca="false">IFERROR(INDEX('⚡ COMMAND TRACKER'!$E$5:$E$204,IFERROR(MATCH(SMALL(IF('⚡ COMMAND TRACKER'!$I$5:$I$204="Booked Meeting",ROW('⚡ COMMAND TRACKER'!$I$5:$I$204)-ROW('⚡ COMMAND TRACKER'!$I$5)+1),7),ROW('⚡ COMMAND TRACKER'!$I$5:$I$204)-ROW('⚡ COMMAND TRACKER'!$I$5)+1,0),"")),"")</f>
        <v/>
      </c>
      <c r="C10" s="27" t="str">
        <f aca="false">IFERROR(INDEX('⚡ COMMAND TRACKER'!$B$5:$B$204,IFERROR(MATCH(SMALL(IF('⚡ COMMAND TRACKER'!$I$5:$I$204="Booked Meeting",ROW('⚡ COMMAND TRACKER'!$I$5:$I$204)-ROW('⚡ COMMAND TRACKER'!$I$5)+1),7),ROW('⚡ COMMAND TRACKER'!$I$5:$I$204)-ROW('⚡ COMMAND TRACKER'!$I$5)+1,0),"")),"")</f>
        <v/>
      </c>
      <c r="D10" s="18" t="str">
        <f aca="false">IFERROR(INDEX('⚡ COMMAND TRACKER'!$H$5:$H$204,IFERROR(MATCH(SMALL(IF('⚡ COMMAND TRACKER'!$I$5:$I$204="Booked Meeting",ROW('⚡ COMMAND TRACKER'!$I$5:$I$204)-ROW('⚡ COMMAND TRACKER'!$I$5)+1),7),ROW('⚡ COMMAND TRACKER'!$I$5:$I$204)-ROW('⚡ COMMAND TRACKER'!$I$5)+1,0),"")),"")</f>
        <v/>
      </c>
      <c r="E10" s="18" t="str">
        <f aca="false">IFERROR(INDEX('⚡ COMMAND TRACKER'!$V$5:$V$204,IFERROR(MATCH(SMALL(IF('⚡ COMMAND TRACKER'!$I$5:$I$204="Booked Meeting",ROW('⚡ COMMAND TRACKER'!$I$5:$I$204)-ROW('⚡ COMMAND TRACKER'!$I$5)+1),7),ROW('⚡ COMMAND TRACKER'!$I$5:$I$204)-ROW('⚡ COMMAND TRACKER'!$I$5)+1,0),"")),"")</f>
        <v/>
      </c>
      <c r="F10" s="28" t="str">
        <f aca="false">IFERROR(INDEX('⚡ COMMAND TRACKER'!$Y$5:$Y$204,IFERROR(MATCH(SMALL(IF('⚡ COMMAND TRACKER'!$I$5:$I$204="Booked Meeting",ROW('⚡ COMMAND TRACKER'!$I$5:$I$204)-ROW('⚡ COMMAND TRACKER'!$I$5)+1),7),ROW('⚡ COMMAND TRACKER'!$I$5:$I$204)-ROW('⚡ COMMAND TRACKER'!$I$5)+1,0),"")),"")</f>
        <v/>
      </c>
      <c r="G10" s="18" t="str">
        <f aca="false">IFERROR(INDEX('⚡ COMMAND TRACKER'!$Z$5:$Z$204,IFERROR(MATCH(SMALL(IF('⚡ COMMAND TRACKER'!$I$5:$I$204="Booked Meeting",ROW('⚡ COMMAND TRACKER'!$I$5:$I$204)-ROW('⚡ COMMAND TRACKER'!$I$5)+1),7),ROW('⚡ COMMAND TRACKER'!$I$5:$I$204)-ROW('⚡ COMMAND TRACKER'!$I$5)+1,0),"")),"")</f>
        <v/>
      </c>
      <c r="H10" s="17" t="str">
        <f aca="false">IFERROR(INDEX('⚡ COMMAND TRACKER'!$M$5:$M$204,IFERROR(MATCH(SMALL(IF('⚡ COMMAND TRACKER'!$I$5:$I$204="Booked Meeting",ROW('⚡ COMMAND TRACKER'!$I$5:$I$204)-ROW('⚡ COMMAND TRACKER'!$I$5)+1),7),ROW('⚡ COMMAND TRACKER'!$I$5:$I$204)-ROW('⚡ COMMAND TRACKER'!$I$5)+1,0),"")),"")</f>
        <v/>
      </c>
      <c r="I10" s="21" t="str">
        <f aca="false">IFERROR(INDEX('⚡ COMMAND TRACKER'!$AC$5:$AC$204,IFERROR(MATCH(SMALL(IF('⚡ COMMAND TRACKER'!$I$5:$I$204="Booked Meeting",ROW('⚡ COMMAND TRACKER'!$I$5:$I$204)-ROW('⚡ COMMAND TRACKER'!$I$5)+1),7),ROW('⚡ COMMAND TRACKER'!$I$5:$I$204)-ROW('⚡ COMMAND TRACKER'!$I$5)+1,0),"")),"")</f>
        <v/>
      </c>
      <c r="J10" s="17" t="str">
        <f aca="false">IFERROR(INDEX('⚡ COMMAND TRACKER'!$AE$5:$AE$204,IFERROR(MATCH(SMALL(IF('⚡ COMMAND TRACKER'!$I$5:$I$204="Booked Meeting",ROW('⚡ COMMAND TRACKER'!$I$5:$I$204)-ROW('⚡ COMMAND TRACKER'!$I$5)+1),7),ROW('⚡ COMMAND TRACKER'!$I$5:$I$204)-ROW('⚡ COMMAND TRACKER'!$I$5)+1,0),"")),"")</f>
        <v/>
      </c>
    </row>
    <row r="11" customFormat="false" ht="19.5" hidden="false" customHeight="true" outlineLevel="0" collapsed="false">
      <c r="A11" s="10" t="str">
        <f aca="false">IFERROR(INDEX('⚡ COMMAND TRACKER'!$A$5:$A$204,IFERROR(MATCH(SMALL(IF('⚡ COMMAND TRACKER'!$I$5:$I$204="Booked Meeting",ROW('⚡ COMMAND TRACKER'!$I$5:$I$204)-ROW('⚡ COMMAND TRACKER'!$I$5)+1),8),ROW('⚡ COMMAND TRACKER'!$I$5:$I$204)-ROW('⚡ COMMAND TRACKER'!$I$5)+1,0),"")),"")</f>
        <v/>
      </c>
      <c r="B11" s="10" t="str">
        <f aca="false">IFERROR(INDEX('⚡ COMMAND TRACKER'!$E$5:$E$204,IFERROR(MATCH(SMALL(IF('⚡ COMMAND TRACKER'!$I$5:$I$204="Booked Meeting",ROW('⚡ COMMAND TRACKER'!$I$5:$I$204)-ROW('⚡ COMMAND TRACKER'!$I$5)+1),8),ROW('⚡ COMMAND TRACKER'!$I$5:$I$204)-ROW('⚡ COMMAND TRACKER'!$I$5)+1,0),"")),"")</f>
        <v/>
      </c>
      <c r="C11" s="30" t="str">
        <f aca="false">IFERROR(INDEX('⚡ COMMAND TRACKER'!$B$5:$B$204,IFERROR(MATCH(SMALL(IF('⚡ COMMAND TRACKER'!$I$5:$I$204="Booked Meeting",ROW('⚡ COMMAND TRACKER'!$I$5:$I$204)-ROW('⚡ COMMAND TRACKER'!$I$5)+1),8),ROW('⚡ COMMAND TRACKER'!$I$5:$I$204)-ROW('⚡ COMMAND TRACKER'!$I$5)+1,0),"")),"")</f>
        <v/>
      </c>
      <c r="D11" s="11" t="str">
        <f aca="false">IFERROR(INDEX('⚡ COMMAND TRACKER'!$H$5:$H$204,IFERROR(MATCH(SMALL(IF('⚡ COMMAND TRACKER'!$I$5:$I$204="Booked Meeting",ROW('⚡ COMMAND TRACKER'!$I$5:$I$204)-ROW('⚡ COMMAND TRACKER'!$I$5)+1),8),ROW('⚡ COMMAND TRACKER'!$I$5:$I$204)-ROW('⚡ COMMAND TRACKER'!$I$5)+1,0),"")),"")</f>
        <v/>
      </c>
      <c r="E11" s="11" t="str">
        <f aca="false">IFERROR(INDEX('⚡ COMMAND TRACKER'!$V$5:$V$204,IFERROR(MATCH(SMALL(IF('⚡ COMMAND TRACKER'!$I$5:$I$204="Booked Meeting",ROW('⚡ COMMAND TRACKER'!$I$5:$I$204)-ROW('⚡ COMMAND TRACKER'!$I$5)+1),8),ROW('⚡ COMMAND TRACKER'!$I$5:$I$204)-ROW('⚡ COMMAND TRACKER'!$I$5)+1,0),"")),"")</f>
        <v/>
      </c>
      <c r="F11" s="31" t="str">
        <f aca="false">IFERROR(INDEX('⚡ COMMAND TRACKER'!$Y$5:$Y$204,IFERROR(MATCH(SMALL(IF('⚡ COMMAND TRACKER'!$I$5:$I$204="Booked Meeting",ROW('⚡ COMMAND TRACKER'!$I$5:$I$204)-ROW('⚡ COMMAND TRACKER'!$I$5)+1),8),ROW('⚡ COMMAND TRACKER'!$I$5:$I$204)-ROW('⚡ COMMAND TRACKER'!$I$5)+1,0),"")),"")</f>
        <v/>
      </c>
      <c r="G11" s="11" t="str">
        <f aca="false">IFERROR(INDEX('⚡ COMMAND TRACKER'!$Z$5:$Z$204,IFERROR(MATCH(SMALL(IF('⚡ COMMAND TRACKER'!$I$5:$I$204="Booked Meeting",ROW('⚡ COMMAND TRACKER'!$I$5:$I$204)-ROW('⚡ COMMAND TRACKER'!$I$5)+1),8),ROW('⚡ COMMAND TRACKER'!$I$5:$I$204)-ROW('⚡ COMMAND TRACKER'!$I$5)+1,0),"")),"")</f>
        <v/>
      </c>
      <c r="H11" s="10" t="str">
        <f aca="false">IFERROR(INDEX('⚡ COMMAND TRACKER'!$M$5:$M$204,IFERROR(MATCH(SMALL(IF('⚡ COMMAND TRACKER'!$I$5:$I$204="Booked Meeting",ROW('⚡ COMMAND TRACKER'!$I$5:$I$204)-ROW('⚡ COMMAND TRACKER'!$I$5)+1),8),ROW('⚡ COMMAND TRACKER'!$I$5:$I$204)-ROW('⚡ COMMAND TRACKER'!$I$5)+1,0),"")),"")</f>
        <v/>
      </c>
      <c r="I11" s="14" t="str">
        <f aca="false">IFERROR(INDEX('⚡ COMMAND TRACKER'!$AC$5:$AC$204,IFERROR(MATCH(SMALL(IF('⚡ COMMAND TRACKER'!$I$5:$I$204="Booked Meeting",ROW('⚡ COMMAND TRACKER'!$I$5:$I$204)-ROW('⚡ COMMAND TRACKER'!$I$5)+1),8),ROW('⚡ COMMAND TRACKER'!$I$5:$I$204)-ROW('⚡ COMMAND TRACKER'!$I$5)+1,0),"")),"")</f>
        <v/>
      </c>
      <c r="J11" s="10" t="str">
        <f aca="false">IFERROR(INDEX('⚡ COMMAND TRACKER'!$AE$5:$AE$204,IFERROR(MATCH(SMALL(IF('⚡ COMMAND TRACKER'!$I$5:$I$204="Booked Meeting",ROW('⚡ COMMAND TRACKER'!$I$5:$I$204)-ROW('⚡ COMMAND TRACKER'!$I$5)+1),8),ROW('⚡ COMMAND TRACKER'!$I$5:$I$204)-ROW('⚡ COMMAND TRACKER'!$I$5)+1,0),"")),"")</f>
        <v/>
      </c>
    </row>
    <row r="12" customFormat="false" ht="19.5" hidden="false" customHeight="true" outlineLevel="0" collapsed="false">
      <c r="A12" s="17" t="str">
        <f aca="false">IFERROR(INDEX('⚡ COMMAND TRACKER'!$A$5:$A$204,IFERROR(MATCH(SMALL(IF('⚡ COMMAND TRACKER'!$I$5:$I$204="Booked Meeting",ROW('⚡ COMMAND TRACKER'!$I$5:$I$204)-ROW('⚡ COMMAND TRACKER'!$I$5)+1),9),ROW('⚡ COMMAND TRACKER'!$I$5:$I$204)-ROW('⚡ COMMAND TRACKER'!$I$5)+1,0),"")),"")</f>
        <v/>
      </c>
      <c r="B12" s="17" t="str">
        <f aca="false">IFERROR(INDEX('⚡ COMMAND TRACKER'!$E$5:$E$204,IFERROR(MATCH(SMALL(IF('⚡ COMMAND TRACKER'!$I$5:$I$204="Booked Meeting",ROW('⚡ COMMAND TRACKER'!$I$5:$I$204)-ROW('⚡ COMMAND TRACKER'!$I$5)+1),9),ROW('⚡ COMMAND TRACKER'!$I$5:$I$204)-ROW('⚡ COMMAND TRACKER'!$I$5)+1,0),"")),"")</f>
        <v/>
      </c>
      <c r="C12" s="27" t="str">
        <f aca="false">IFERROR(INDEX('⚡ COMMAND TRACKER'!$B$5:$B$204,IFERROR(MATCH(SMALL(IF('⚡ COMMAND TRACKER'!$I$5:$I$204="Booked Meeting",ROW('⚡ COMMAND TRACKER'!$I$5:$I$204)-ROW('⚡ COMMAND TRACKER'!$I$5)+1),9),ROW('⚡ COMMAND TRACKER'!$I$5:$I$204)-ROW('⚡ COMMAND TRACKER'!$I$5)+1,0),"")),"")</f>
        <v/>
      </c>
      <c r="D12" s="18" t="str">
        <f aca="false">IFERROR(INDEX('⚡ COMMAND TRACKER'!$H$5:$H$204,IFERROR(MATCH(SMALL(IF('⚡ COMMAND TRACKER'!$I$5:$I$204="Booked Meeting",ROW('⚡ COMMAND TRACKER'!$I$5:$I$204)-ROW('⚡ COMMAND TRACKER'!$I$5)+1),9),ROW('⚡ COMMAND TRACKER'!$I$5:$I$204)-ROW('⚡ COMMAND TRACKER'!$I$5)+1,0),"")),"")</f>
        <v/>
      </c>
      <c r="E12" s="18" t="str">
        <f aca="false">IFERROR(INDEX('⚡ COMMAND TRACKER'!$V$5:$V$204,IFERROR(MATCH(SMALL(IF('⚡ COMMAND TRACKER'!$I$5:$I$204="Booked Meeting",ROW('⚡ COMMAND TRACKER'!$I$5:$I$204)-ROW('⚡ COMMAND TRACKER'!$I$5)+1),9),ROW('⚡ COMMAND TRACKER'!$I$5:$I$204)-ROW('⚡ COMMAND TRACKER'!$I$5)+1,0),"")),"")</f>
        <v/>
      </c>
      <c r="F12" s="28" t="str">
        <f aca="false">IFERROR(INDEX('⚡ COMMAND TRACKER'!$Y$5:$Y$204,IFERROR(MATCH(SMALL(IF('⚡ COMMAND TRACKER'!$I$5:$I$204="Booked Meeting",ROW('⚡ COMMAND TRACKER'!$I$5:$I$204)-ROW('⚡ COMMAND TRACKER'!$I$5)+1),9),ROW('⚡ COMMAND TRACKER'!$I$5:$I$204)-ROW('⚡ COMMAND TRACKER'!$I$5)+1,0),"")),"")</f>
        <v/>
      </c>
      <c r="G12" s="18" t="str">
        <f aca="false">IFERROR(INDEX('⚡ COMMAND TRACKER'!$Z$5:$Z$204,IFERROR(MATCH(SMALL(IF('⚡ COMMAND TRACKER'!$I$5:$I$204="Booked Meeting",ROW('⚡ COMMAND TRACKER'!$I$5:$I$204)-ROW('⚡ COMMAND TRACKER'!$I$5)+1),9),ROW('⚡ COMMAND TRACKER'!$I$5:$I$204)-ROW('⚡ COMMAND TRACKER'!$I$5)+1,0),"")),"")</f>
        <v/>
      </c>
      <c r="H12" s="17" t="str">
        <f aca="false">IFERROR(INDEX('⚡ COMMAND TRACKER'!$M$5:$M$204,IFERROR(MATCH(SMALL(IF('⚡ COMMAND TRACKER'!$I$5:$I$204="Booked Meeting",ROW('⚡ COMMAND TRACKER'!$I$5:$I$204)-ROW('⚡ COMMAND TRACKER'!$I$5)+1),9),ROW('⚡ COMMAND TRACKER'!$I$5:$I$204)-ROW('⚡ COMMAND TRACKER'!$I$5)+1,0),"")),"")</f>
        <v/>
      </c>
      <c r="I12" s="21" t="str">
        <f aca="false">IFERROR(INDEX('⚡ COMMAND TRACKER'!$AC$5:$AC$204,IFERROR(MATCH(SMALL(IF('⚡ COMMAND TRACKER'!$I$5:$I$204="Booked Meeting",ROW('⚡ COMMAND TRACKER'!$I$5:$I$204)-ROW('⚡ COMMAND TRACKER'!$I$5)+1),9),ROW('⚡ COMMAND TRACKER'!$I$5:$I$204)-ROW('⚡ COMMAND TRACKER'!$I$5)+1,0),"")),"")</f>
        <v/>
      </c>
      <c r="J12" s="17" t="str">
        <f aca="false">IFERROR(INDEX('⚡ COMMAND TRACKER'!$AE$5:$AE$204,IFERROR(MATCH(SMALL(IF('⚡ COMMAND TRACKER'!$I$5:$I$204="Booked Meeting",ROW('⚡ COMMAND TRACKER'!$I$5:$I$204)-ROW('⚡ COMMAND TRACKER'!$I$5)+1),9),ROW('⚡ COMMAND TRACKER'!$I$5:$I$204)-ROW('⚡ COMMAND TRACKER'!$I$5)+1,0),"")),"")</f>
        <v/>
      </c>
    </row>
    <row r="13" customFormat="false" ht="19.5" hidden="false" customHeight="true" outlineLevel="0" collapsed="false">
      <c r="A13" s="10" t="str">
        <f aca="false">IFERROR(INDEX('⚡ COMMAND TRACKER'!$A$5:$A$204,IFERROR(MATCH(SMALL(IF('⚡ COMMAND TRACKER'!$I$5:$I$204="Booked Meeting",ROW('⚡ COMMAND TRACKER'!$I$5:$I$204)-ROW('⚡ COMMAND TRACKER'!$I$5)+1),10),ROW('⚡ COMMAND TRACKER'!$I$5:$I$204)-ROW('⚡ COMMAND TRACKER'!$I$5)+1,0),"")),"")</f>
        <v/>
      </c>
      <c r="B13" s="10" t="str">
        <f aca="false">IFERROR(INDEX('⚡ COMMAND TRACKER'!$E$5:$E$204,IFERROR(MATCH(SMALL(IF('⚡ COMMAND TRACKER'!$I$5:$I$204="Booked Meeting",ROW('⚡ COMMAND TRACKER'!$I$5:$I$204)-ROW('⚡ COMMAND TRACKER'!$I$5)+1),10),ROW('⚡ COMMAND TRACKER'!$I$5:$I$204)-ROW('⚡ COMMAND TRACKER'!$I$5)+1,0),"")),"")</f>
        <v/>
      </c>
      <c r="C13" s="30" t="str">
        <f aca="false">IFERROR(INDEX('⚡ COMMAND TRACKER'!$B$5:$B$204,IFERROR(MATCH(SMALL(IF('⚡ COMMAND TRACKER'!$I$5:$I$204="Booked Meeting",ROW('⚡ COMMAND TRACKER'!$I$5:$I$204)-ROW('⚡ COMMAND TRACKER'!$I$5)+1),10),ROW('⚡ COMMAND TRACKER'!$I$5:$I$204)-ROW('⚡ COMMAND TRACKER'!$I$5)+1,0),"")),"")</f>
        <v/>
      </c>
      <c r="D13" s="11" t="str">
        <f aca="false">IFERROR(INDEX('⚡ COMMAND TRACKER'!$H$5:$H$204,IFERROR(MATCH(SMALL(IF('⚡ COMMAND TRACKER'!$I$5:$I$204="Booked Meeting",ROW('⚡ COMMAND TRACKER'!$I$5:$I$204)-ROW('⚡ COMMAND TRACKER'!$I$5)+1),10),ROW('⚡ COMMAND TRACKER'!$I$5:$I$204)-ROW('⚡ COMMAND TRACKER'!$I$5)+1,0),"")),"")</f>
        <v/>
      </c>
      <c r="E13" s="11" t="str">
        <f aca="false">IFERROR(INDEX('⚡ COMMAND TRACKER'!$V$5:$V$204,IFERROR(MATCH(SMALL(IF('⚡ COMMAND TRACKER'!$I$5:$I$204="Booked Meeting",ROW('⚡ COMMAND TRACKER'!$I$5:$I$204)-ROW('⚡ COMMAND TRACKER'!$I$5)+1),10),ROW('⚡ COMMAND TRACKER'!$I$5:$I$204)-ROW('⚡ COMMAND TRACKER'!$I$5)+1,0),"")),"")</f>
        <v/>
      </c>
      <c r="F13" s="31" t="str">
        <f aca="false">IFERROR(INDEX('⚡ COMMAND TRACKER'!$Y$5:$Y$204,IFERROR(MATCH(SMALL(IF('⚡ COMMAND TRACKER'!$I$5:$I$204="Booked Meeting",ROW('⚡ COMMAND TRACKER'!$I$5:$I$204)-ROW('⚡ COMMAND TRACKER'!$I$5)+1),10),ROW('⚡ COMMAND TRACKER'!$I$5:$I$204)-ROW('⚡ COMMAND TRACKER'!$I$5)+1,0),"")),"")</f>
        <v/>
      </c>
      <c r="G13" s="11" t="str">
        <f aca="false">IFERROR(INDEX('⚡ COMMAND TRACKER'!$Z$5:$Z$204,IFERROR(MATCH(SMALL(IF('⚡ COMMAND TRACKER'!$I$5:$I$204="Booked Meeting",ROW('⚡ COMMAND TRACKER'!$I$5:$I$204)-ROW('⚡ COMMAND TRACKER'!$I$5)+1),10),ROW('⚡ COMMAND TRACKER'!$I$5:$I$204)-ROW('⚡ COMMAND TRACKER'!$I$5)+1,0),"")),"")</f>
        <v/>
      </c>
      <c r="H13" s="10" t="str">
        <f aca="false">IFERROR(INDEX('⚡ COMMAND TRACKER'!$M$5:$M$204,IFERROR(MATCH(SMALL(IF('⚡ COMMAND TRACKER'!$I$5:$I$204="Booked Meeting",ROW('⚡ COMMAND TRACKER'!$I$5:$I$204)-ROW('⚡ COMMAND TRACKER'!$I$5)+1),10),ROW('⚡ COMMAND TRACKER'!$I$5:$I$204)-ROW('⚡ COMMAND TRACKER'!$I$5)+1,0),"")),"")</f>
        <v/>
      </c>
      <c r="I13" s="14" t="str">
        <f aca="false">IFERROR(INDEX('⚡ COMMAND TRACKER'!$AC$5:$AC$204,IFERROR(MATCH(SMALL(IF('⚡ COMMAND TRACKER'!$I$5:$I$204="Booked Meeting",ROW('⚡ COMMAND TRACKER'!$I$5:$I$204)-ROW('⚡ COMMAND TRACKER'!$I$5)+1),10),ROW('⚡ COMMAND TRACKER'!$I$5:$I$204)-ROW('⚡ COMMAND TRACKER'!$I$5)+1,0),"")),"")</f>
        <v/>
      </c>
      <c r="J13" s="10" t="str">
        <f aca="false">IFERROR(INDEX('⚡ COMMAND TRACKER'!$AE$5:$AE$204,IFERROR(MATCH(SMALL(IF('⚡ COMMAND TRACKER'!$I$5:$I$204="Booked Meeting",ROW('⚡ COMMAND TRACKER'!$I$5:$I$204)-ROW('⚡ COMMAND TRACKER'!$I$5)+1),10),ROW('⚡ COMMAND TRACKER'!$I$5:$I$204)-ROW('⚡ COMMAND TRACKER'!$I$5)+1,0),"")),"")</f>
        <v/>
      </c>
    </row>
    <row r="14" customFormat="false" ht="19.5" hidden="false" customHeight="true" outlineLevel="0" collapsed="false">
      <c r="A14" s="17" t="str">
        <f aca="false">IFERROR(INDEX('⚡ COMMAND TRACKER'!$A$5:$A$204,IFERROR(MATCH(SMALL(IF('⚡ COMMAND TRACKER'!$I$5:$I$204="Booked Meeting",ROW('⚡ COMMAND TRACKER'!$I$5:$I$204)-ROW('⚡ COMMAND TRACKER'!$I$5)+1),11),ROW('⚡ COMMAND TRACKER'!$I$5:$I$204)-ROW('⚡ COMMAND TRACKER'!$I$5)+1,0),"")),"")</f>
        <v/>
      </c>
      <c r="B14" s="17" t="str">
        <f aca="false">IFERROR(INDEX('⚡ COMMAND TRACKER'!$E$5:$E$204,IFERROR(MATCH(SMALL(IF('⚡ COMMAND TRACKER'!$I$5:$I$204="Booked Meeting",ROW('⚡ COMMAND TRACKER'!$I$5:$I$204)-ROW('⚡ COMMAND TRACKER'!$I$5)+1),11),ROW('⚡ COMMAND TRACKER'!$I$5:$I$204)-ROW('⚡ COMMAND TRACKER'!$I$5)+1,0),"")),"")</f>
        <v/>
      </c>
      <c r="C14" s="27" t="str">
        <f aca="false">IFERROR(INDEX('⚡ COMMAND TRACKER'!$B$5:$B$204,IFERROR(MATCH(SMALL(IF('⚡ COMMAND TRACKER'!$I$5:$I$204="Booked Meeting",ROW('⚡ COMMAND TRACKER'!$I$5:$I$204)-ROW('⚡ COMMAND TRACKER'!$I$5)+1),11),ROW('⚡ COMMAND TRACKER'!$I$5:$I$204)-ROW('⚡ COMMAND TRACKER'!$I$5)+1,0),"")),"")</f>
        <v/>
      </c>
      <c r="D14" s="18" t="str">
        <f aca="false">IFERROR(INDEX('⚡ COMMAND TRACKER'!$H$5:$H$204,IFERROR(MATCH(SMALL(IF('⚡ COMMAND TRACKER'!$I$5:$I$204="Booked Meeting",ROW('⚡ COMMAND TRACKER'!$I$5:$I$204)-ROW('⚡ COMMAND TRACKER'!$I$5)+1),11),ROW('⚡ COMMAND TRACKER'!$I$5:$I$204)-ROW('⚡ COMMAND TRACKER'!$I$5)+1,0),"")),"")</f>
        <v/>
      </c>
      <c r="E14" s="18" t="str">
        <f aca="false">IFERROR(INDEX('⚡ COMMAND TRACKER'!$V$5:$V$204,IFERROR(MATCH(SMALL(IF('⚡ COMMAND TRACKER'!$I$5:$I$204="Booked Meeting",ROW('⚡ COMMAND TRACKER'!$I$5:$I$204)-ROW('⚡ COMMAND TRACKER'!$I$5)+1),11),ROW('⚡ COMMAND TRACKER'!$I$5:$I$204)-ROW('⚡ COMMAND TRACKER'!$I$5)+1,0),"")),"")</f>
        <v/>
      </c>
      <c r="F14" s="28" t="str">
        <f aca="false">IFERROR(INDEX('⚡ COMMAND TRACKER'!$Y$5:$Y$204,IFERROR(MATCH(SMALL(IF('⚡ COMMAND TRACKER'!$I$5:$I$204="Booked Meeting",ROW('⚡ COMMAND TRACKER'!$I$5:$I$204)-ROW('⚡ COMMAND TRACKER'!$I$5)+1),11),ROW('⚡ COMMAND TRACKER'!$I$5:$I$204)-ROW('⚡ COMMAND TRACKER'!$I$5)+1,0),"")),"")</f>
        <v/>
      </c>
      <c r="G14" s="18" t="str">
        <f aca="false">IFERROR(INDEX('⚡ COMMAND TRACKER'!$Z$5:$Z$204,IFERROR(MATCH(SMALL(IF('⚡ COMMAND TRACKER'!$I$5:$I$204="Booked Meeting",ROW('⚡ COMMAND TRACKER'!$I$5:$I$204)-ROW('⚡ COMMAND TRACKER'!$I$5)+1),11),ROW('⚡ COMMAND TRACKER'!$I$5:$I$204)-ROW('⚡ COMMAND TRACKER'!$I$5)+1,0),"")),"")</f>
        <v/>
      </c>
      <c r="H14" s="17" t="str">
        <f aca="false">IFERROR(INDEX('⚡ COMMAND TRACKER'!$M$5:$M$204,IFERROR(MATCH(SMALL(IF('⚡ COMMAND TRACKER'!$I$5:$I$204="Booked Meeting",ROW('⚡ COMMAND TRACKER'!$I$5:$I$204)-ROW('⚡ COMMAND TRACKER'!$I$5)+1),11),ROW('⚡ COMMAND TRACKER'!$I$5:$I$204)-ROW('⚡ COMMAND TRACKER'!$I$5)+1,0),"")),"")</f>
        <v/>
      </c>
      <c r="I14" s="21" t="str">
        <f aca="false">IFERROR(INDEX('⚡ COMMAND TRACKER'!$AC$5:$AC$204,IFERROR(MATCH(SMALL(IF('⚡ COMMAND TRACKER'!$I$5:$I$204="Booked Meeting",ROW('⚡ COMMAND TRACKER'!$I$5:$I$204)-ROW('⚡ COMMAND TRACKER'!$I$5)+1),11),ROW('⚡ COMMAND TRACKER'!$I$5:$I$204)-ROW('⚡ COMMAND TRACKER'!$I$5)+1,0),"")),"")</f>
        <v/>
      </c>
      <c r="J14" s="17" t="str">
        <f aca="false">IFERROR(INDEX('⚡ COMMAND TRACKER'!$AE$5:$AE$204,IFERROR(MATCH(SMALL(IF('⚡ COMMAND TRACKER'!$I$5:$I$204="Booked Meeting",ROW('⚡ COMMAND TRACKER'!$I$5:$I$204)-ROW('⚡ COMMAND TRACKER'!$I$5)+1),11),ROW('⚡ COMMAND TRACKER'!$I$5:$I$204)-ROW('⚡ COMMAND TRACKER'!$I$5)+1,0),"")),"")</f>
        <v/>
      </c>
    </row>
    <row r="15" customFormat="false" ht="19.5" hidden="false" customHeight="true" outlineLevel="0" collapsed="false">
      <c r="A15" s="10" t="str">
        <f aca="false">IFERROR(INDEX('⚡ COMMAND TRACKER'!$A$5:$A$204,IFERROR(MATCH(SMALL(IF('⚡ COMMAND TRACKER'!$I$5:$I$204="Booked Meeting",ROW('⚡ COMMAND TRACKER'!$I$5:$I$204)-ROW('⚡ COMMAND TRACKER'!$I$5)+1),12),ROW('⚡ COMMAND TRACKER'!$I$5:$I$204)-ROW('⚡ COMMAND TRACKER'!$I$5)+1,0),"")),"")</f>
        <v/>
      </c>
      <c r="B15" s="10" t="str">
        <f aca="false">IFERROR(INDEX('⚡ COMMAND TRACKER'!$E$5:$E$204,IFERROR(MATCH(SMALL(IF('⚡ COMMAND TRACKER'!$I$5:$I$204="Booked Meeting",ROW('⚡ COMMAND TRACKER'!$I$5:$I$204)-ROW('⚡ COMMAND TRACKER'!$I$5)+1),12),ROW('⚡ COMMAND TRACKER'!$I$5:$I$204)-ROW('⚡ COMMAND TRACKER'!$I$5)+1,0),"")),"")</f>
        <v/>
      </c>
      <c r="C15" s="30" t="str">
        <f aca="false">IFERROR(INDEX('⚡ COMMAND TRACKER'!$B$5:$B$204,IFERROR(MATCH(SMALL(IF('⚡ COMMAND TRACKER'!$I$5:$I$204="Booked Meeting",ROW('⚡ COMMAND TRACKER'!$I$5:$I$204)-ROW('⚡ COMMAND TRACKER'!$I$5)+1),12),ROW('⚡ COMMAND TRACKER'!$I$5:$I$204)-ROW('⚡ COMMAND TRACKER'!$I$5)+1,0),"")),"")</f>
        <v/>
      </c>
      <c r="D15" s="11" t="str">
        <f aca="false">IFERROR(INDEX('⚡ COMMAND TRACKER'!$H$5:$H$204,IFERROR(MATCH(SMALL(IF('⚡ COMMAND TRACKER'!$I$5:$I$204="Booked Meeting",ROW('⚡ COMMAND TRACKER'!$I$5:$I$204)-ROW('⚡ COMMAND TRACKER'!$I$5)+1),12),ROW('⚡ COMMAND TRACKER'!$I$5:$I$204)-ROW('⚡ COMMAND TRACKER'!$I$5)+1,0),"")),"")</f>
        <v/>
      </c>
      <c r="E15" s="11" t="str">
        <f aca="false">IFERROR(INDEX('⚡ COMMAND TRACKER'!$V$5:$V$204,IFERROR(MATCH(SMALL(IF('⚡ COMMAND TRACKER'!$I$5:$I$204="Booked Meeting",ROW('⚡ COMMAND TRACKER'!$I$5:$I$204)-ROW('⚡ COMMAND TRACKER'!$I$5)+1),12),ROW('⚡ COMMAND TRACKER'!$I$5:$I$204)-ROW('⚡ COMMAND TRACKER'!$I$5)+1,0),"")),"")</f>
        <v/>
      </c>
      <c r="F15" s="31" t="str">
        <f aca="false">IFERROR(INDEX('⚡ COMMAND TRACKER'!$Y$5:$Y$204,IFERROR(MATCH(SMALL(IF('⚡ COMMAND TRACKER'!$I$5:$I$204="Booked Meeting",ROW('⚡ COMMAND TRACKER'!$I$5:$I$204)-ROW('⚡ COMMAND TRACKER'!$I$5)+1),12),ROW('⚡ COMMAND TRACKER'!$I$5:$I$204)-ROW('⚡ COMMAND TRACKER'!$I$5)+1,0),"")),"")</f>
        <v/>
      </c>
      <c r="G15" s="11" t="str">
        <f aca="false">IFERROR(INDEX('⚡ COMMAND TRACKER'!$Z$5:$Z$204,IFERROR(MATCH(SMALL(IF('⚡ COMMAND TRACKER'!$I$5:$I$204="Booked Meeting",ROW('⚡ COMMAND TRACKER'!$I$5:$I$204)-ROW('⚡ COMMAND TRACKER'!$I$5)+1),12),ROW('⚡ COMMAND TRACKER'!$I$5:$I$204)-ROW('⚡ COMMAND TRACKER'!$I$5)+1,0),"")),"")</f>
        <v/>
      </c>
      <c r="H15" s="10" t="str">
        <f aca="false">IFERROR(INDEX('⚡ COMMAND TRACKER'!$M$5:$M$204,IFERROR(MATCH(SMALL(IF('⚡ COMMAND TRACKER'!$I$5:$I$204="Booked Meeting",ROW('⚡ COMMAND TRACKER'!$I$5:$I$204)-ROW('⚡ COMMAND TRACKER'!$I$5)+1),12),ROW('⚡ COMMAND TRACKER'!$I$5:$I$204)-ROW('⚡ COMMAND TRACKER'!$I$5)+1,0),"")),"")</f>
        <v/>
      </c>
      <c r="I15" s="14" t="str">
        <f aca="false">IFERROR(INDEX('⚡ COMMAND TRACKER'!$AC$5:$AC$204,IFERROR(MATCH(SMALL(IF('⚡ COMMAND TRACKER'!$I$5:$I$204="Booked Meeting",ROW('⚡ COMMAND TRACKER'!$I$5:$I$204)-ROW('⚡ COMMAND TRACKER'!$I$5)+1),12),ROW('⚡ COMMAND TRACKER'!$I$5:$I$204)-ROW('⚡ COMMAND TRACKER'!$I$5)+1,0),"")),"")</f>
        <v/>
      </c>
      <c r="J15" s="10" t="str">
        <f aca="false">IFERROR(INDEX('⚡ COMMAND TRACKER'!$AE$5:$AE$204,IFERROR(MATCH(SMALL(IF('⚡ COMMAND TRACKER'!$I$5:$I$204="Booked Meeting",ROW('⚡ COMMAND TRACKER'!$I$5:$I$204)-ROW('⚡ COMMAND TRACKER'!$I$5)+1),12),ROW('⚡ COMMAND TRACKER'!$I$5:$I$204)-ROW('⚡ COMMAND TRACKER'!$I$5)+1,0),"")),"")</f>
        <v/>
      </c>
    </row>
    <row r="16" customFormat="false" ht="19.5" hidden="false" customHeight="true" outlineLevel="0" collapsed="false">
      <c r="A16" s="17" t="str">
        <f aca="false">IFERROR(INDEX('⚡ COMMAND TRACKER'!$A$5:$A$204,IFERROR(MATCH(SMALL(IF('⚡ COMMAND TRACKER'!$I$5:$I$204="Booked Meeting",ROW('⚡ COMMAND TRACKER'!$I$5:$I$204)-ROW('⚡ COMMAND TRACKER'!$I$5)+1),13),ROW('⚡ COMMAND TRACKER'!$I$5:$I$204)-ROW('⚡ COMMAND TRACKER'!$I$5)+1,0),"")),"")</f>
        <v/>
      </c>
      <c r="B16" s="17" t="str">
        <f aca="false">IFERROR(INDEX('⚡ COMMAND TRACKER'!$E$5:$E$204,IFERROR(MATCH(SMALL(IF('⚡ COMMAND TRACKER'!$I$5:$I$204="Booked Meeting",ROW('⚡ COMMAND TRACKER'!$I$5:$I$204)-ROW('⚡ COMMAND TRACKER'!$I$5)+1),13),ROW('⚡ COMMAND TRACKER'!$I$5:$I$204)-ROW('⚡ COMMAND TRACKER'!$I$5)+1,0),"")),"")</f>
        <v/>
      </c>
      <c r="C16" s="27" t="str">
        <f aca="false">IFERROR(INDEX('⚡ COMMAND TRACKER'!$B$5:$B$204,IFERROR(MATCH(SMALL(IF('⚡ COMMAND TRACKER'!$I$5:$I$204="Booked Meeting",ROW('⚡ COMMAND TRACKER'!$I$5:$I$204)-ROW('⚡ COMMAND TRACKER'!$I$5)+1),13),ROW('⚡ COMMAND TRACKER'!$I$5:$I$204)-ROW('⚡ COMMAND TRACKER'!$I$5)+1,0),"")),"")</f>
        <v/>
      </c>
      <c r="D16" s="18" t="str">
        <f aca="false">IFERROR(INDEX('⚡ COMMAND TRACKER'!$H$5:$H$204,IFERROR(MATCH(SMALL(IF('⚡ COMMAND TRACKER'!$I$5:$I$204="Booked Meeting",ROW('⚡ COMMAND TRACKER'!$I$5:$I$204)-ROW('⚡ COMMAND TRACKER'!$I$5)+1),13),ROW('⚡ COMMAND TRACKER'!$I$5:$I$204)-ROW('⚡ COMMAND TRACKER'!$I$5)+1,0),"")),"")</f>
        <v/>
      </c>
      <c r="E16" s="18" t="str">
        <f aca="false">IFERROR(INDEX('⚡ COMMAND TRACKER'!$V$5:$V$204,IFERROR(MATCH(SMALL(IF('⚡ COMMAND TRACKER'!$I$5:$I$204="Booked Meeting",ROW('⚡ COMMAND TRACKER'!$I$5:$I$204)-ROW('⚡ COMMAND TRACKER'!$I$5)+1),13),ROW('⚡ COMMAND TRACKER'!$I$5:$I$204)-ROW('⚡ COMMAND TRACKER'!$I$5)+1,0),"")),"")</f>
        <v/>
      </c>
      <c r="F16" s="28" t="str">
        <f aca="false">IFERROR(INDEX('⚡ COMMAND TRACKER'!$Y$5:$Y$204,IFERROR(MATCH(SMALL(IF('⚡ COMMAND TRACKER'!$I$5:$I$204="Booked Meeting",ROW('⚡ COMMAND TRACKER'!$I$5:$I$204)-ROW('⚡ COMMAND TRACKER'!$I$5)+1),13),ROW('⚡ COMMAND TRACKER'!$I$5:$I$204)-ROW('⚡ COMMAND TRACKER'!$I$5)+1,0),"")),"")</f>
        <v/>
      </c>
      <c r="G16" s="18" t="str">
        <f aca="false">IFERROR(INDEX('⚡ COMMAND TRACKER'!$Z$5:$Z$204,IFERROR(MATCH(SMALL(IF('⚡ COMMAND TRACKER'!$I$5:$I$204="Booked Meeting",ROW('⚡ COMMAND TRACKER'!$I$5:$I$204)-ROW('⚡ COMMAND TRACKER'!$I$5)+1),13),ROW('⚡ COMMAND TRACKER'!$I$5:$I$204)-ROW('⚡ COMMAND TRACKER'!$I$5)+1,0),"")),"")</f>
        <v/>
      </c>
      <c r="H16" s="17" t="str">
        <f aca="false">IFERROR(INDEX('⚡ COMMAND TRACKER'!$M$5:$M$204,IFERROR(MATCH(SMALL(IF('⚡ COMMAND TRACKER'!$I$5:$I$204="Booked Meeting",ROW('⚡ COMMAND TRACKER'!$I$5:$I$204)-ROW('⚡ COMMAND TRACKER'!$I$5)+1),13),ROW('⚡ COMMAND TRACKER'!$I$5:$I$204)-ROW('⚡ COMMAND TRACKER'!$I$5)+1,0),"")),"")</f>
        <v/>
      </c>
      <c r="I16" s="21" t="str">
        <f aca="false">IFERROR(INDEX('⚡ COMMAND TRACKER'!$AC$5:$AC$204,IFERROR(MATCH(SMALL(IF('⚡ COMMAND TRACKER'!$I$5:$I$204="Booked Meeting",ROW('⚡ COMMAND TRACKER'!$I$5:$I$204)-ROW('⚡ COMMAND TRACKER'!$I$5)+1),13),ROW('⚡ COMMAND TRACKER'!$I$5:$I$204)-ROW('⚡ COMMAND TRACKER'!$I$5)+1,0),"")),"")</f>
        <v/>
      </c>
      <c r="J16" s="17" t="str">
        <f aca="false">IFERROR(INDEX('⚡ COMMAND TRACKER'!$AE$5:$AE$204,IFERROR(MATCH(SMALL(IF('⚡ COMMAND TRACKER'!$I$5:$I$204="Booked Meeting",ROW('⚡ COMMAND TRACKER'!$I$5:$I$204)-ROW('⚡ COMMAND TRACKER'!$I$5)+1),13),ROW('⚡ COMMAND TRACKER'!$I$5:$I$204)-ROW('⚡ COMMAND TRACKER'!$I$5)+1,0),"")),"")</f>
        <v/>
      </c>
    </row>
    <row r="17" customFormat="false" ht="19.5" hidden="false" customHeight="true" outlineLevel="0" collapsed="false">
      <c r="A17" s="10" t="str">
        <f aca="false">IFERROR(INDEX('⚡ COMMAND TRACKER'!$A$5:$A$204,IFERROR(MATCH(SMALL(IF('⚡ COMMAND TRACKER'!$I$5:$I$204="Booked Meeting",ROW('⚡ COMMAND TRACKER'!$I$5:$I$204)-ROW('⚡ COMMAND TRACKER'!$I$5)+1),14),ROW('⚡ COMMAND TRACKER'!$I$5:$I$204)-ROW('⚡ COMMAND TRACKER'!$I$5)+1,0),"")),"")</f>
        <v/>
      </c>
      <c r="B17" s="10" t="str">
        <f aca="false">IFERROR(INDEX('⚡ COMMAND TRACKER'!$E$5:$E$204,IFERROR(MATCH(SMALL(IF('⚡ COMMAND TRACKER'!$I$5:$I$204="Booked Meeting",ROW('⚡ COMMAND TRACKER'!$I$5:$I$204)-ROW('⚡ COMMAND TRACKER'!$I$5)+1),14),ROW('⚡ COMMAND TRACKER'!$I$5:$I$204)-ROW('⚡ COMMAND TRACKER'!$I$5)+1,0),"")),"")</f>
        <v/>
      </c>
      <c r="C17" s="30" t="str">
        <f aca="false">IFERROR(INDEX('⚡ COMMAND TRACKER'!$B$5:$B$204,IFERROR(MATCH(SMALL(IF('⚡ COMMAND TRACKER'!$I$5:$I$204="Booked Meeting",ROW('⚡ COMMAND TRACKER'!$I$5:$I$204)-ROW('⚡ COMMAND TRACKER'!$I$5)+1),14),ROW('⚡ COMMAND TRACKER'!$I$5:$I$204)-ROW('⚡ COMMAND TRACKER'!$I$5)+1,0),"")),"")</f>
        <v/>
      </c>
      <c r="D17" s="11" t="str">
        <f aca="false">IFERROR(INDEX('⚡ COMMAND TRACKER'!$H$5:$H$204,IFERROR(MATCH(SMALL(IF('⚡ COMMAND TRACKER'!$I$5:$I$204="Booked Meeting",ROW('⚡ COMMAND TRACKER'!$I$5:$I$204)-ROW('⚡ COMMAND TRACKER'!$I$5)+1),14),ROW('⚡ COMMAND TRACKER'!$I$5:$I$204)-ROW('⚡ COMMAND TRACKER'!$I$5)+1,0),"")),"")</f>
        <v/>
      </c>
      <c r="E17" s="11" t="str">
        <f aca="false">IFERROR(INDEX('⚡ COMMAND TRACKER'!$V$5:$V$204,IFERROR(MATCH(SMALL(IF('⚡ COMMAND TRACKER'!$I$5:$I$204="Booked Meeting",ROW('⚡ COMMAND TRACKER'!$I$5:$I$204)-ROW('⚡ COMMAND TRACKER'!$I$5)+1),14),ROW('⚡ COMMAND TRACKER'!$I$5:$I$204)-ROW('⚡ COMMAND TRACKER'!$I$5)+1,0),"")),"")</f>
        <v/>
      </c>
      <c r="F17" s="31" t="str">
        <f aca="false">IFERROR(INDEX('⚡ COMMAND TRACKER'!$Y$5:$Y$204,IFERROR(MATCH(SMALL(IF('⚡ COMMAND TRACKER'!$I$5:$I$204="Booked Meeting",ROW('⚡ COMMAND TRACKER'!$I$5:$I$204)-ROW('⚡ COMMAND TRACKER'!$I$5)+1),14),ROW('⚡ COMMAND TRACKER'!$I$5:$I$204)-ROW('⚡ COMMAND TRACKER'!$I$5)+1,0),"")),"")</f>
        <v/>
      </c>
      <c r="G17" s="11" t="str">
        <f aca="false">IFERROR(INDEX('⚡ COMMAND TRACKER'!$Z$5:$Z$204,IFERROR(MATCH(SMALL(IF('⚡ COMMAND TRACKER'!$I$5:$I$204="Booked Meeting",ROW('⚡ COMMAND TRACKER'!$I$5:$I$204)-ROW('⚡ COMMAND TRACKER'!$I$5)+1),14),ROW('⚡ COMMAND TRACKER'!$I$5:$I$204)-ROW('⚡ COMMAND TRACKER'!$I$5)+1,0),"")),"")</f>
        <v/>
      </c>
      <c r="H17" s="10" t="str">
        <f aca="false">IFERROR(INDEX('⚡ COMMAND TRACKER'!$M$5:$M$204,IFERROR(MATCH(SMALL(IF('⚡ COMMAND TRACKER'!$I$5:$I$204="Booked Meeting",ROW('⚡ COMMAND TRACKER'!$I$5:$I$204)-ROW('⚡ COMMAND TRACKER'!$I$5)+1),14),ROW('⚡ COMMAND TRACKER'!$I$5:$I$204)-ROW('⚡ COMMAND TRACKER'!$I$5)+1,0),"")),"")</f>
        <v/>
      </c>
      <c r="I17" s="14" t="str">
        <f aca="false">IFERROR(INDEX('⚡ COMMAND TRACKER'!$AC$5:$AC$204,IFERROR(MATCH(SMALL(IF('⚡ COMMAND TRACKER'!$I$5:$I$204="Booked Meeting",ROW('⚡ COMMAND TRACKER'!$I$5:$I$204)-ROW('⚡ COMMAND TRACKER'!$I$5)+1),14),ROW('⚡ COMMAND TRACKER'!$I$5:$I$204)-ROW('⚡ COMMAND TRACKER'!$I$5)+1,0),"")),"")</f>
        <v/>
      </c>
      <c r="J17" s="10" t="str">
        <f aca="false">IFERROR(INDEX('⚡ COMMAND TRACKER'!$AE$5:$AE$204,IFERROR(MATCH(SMALL(IF('⚡ COMMAND TRACKER'!$I$5:$I$204="Booked Meeting",ROW('⚡ COMMAND TRACKER'!$I$5:$I$204)-ROW('⚡ COMMAND TRACKER'!$I$5)+1),14),ROW('⚡ COMMAND TRACKER'!$I$5:$I$204)-ROW('⚡ COMMAND TRACKER'!$I$5)+1,0),"")),"")</f>
        <v/>
      </c>
    </row>
    <row r="18" customFormat="false" ht="19.5" hidden="false" customHeight="true" outlineLevel="0" collapsed="false">
      <c r="A18" s="17" t="str">
        <f aca="false">IFERROR(INDEX('⚡ COMMAND TRACKER'!$A$5:$A$204,IFERROR(MATCH(SMALL(IF('⚡ COMMAND TRACKER'!$I$5:$I$204="Booked Meeting",ROW('⚡ COMMAND TRACKER'!$I$5:$I$204)-ROW('⚡ COMMAND TRACKER'!$I$5)+1),15),ROW('⚡ COMMAND TRACKER'!$I$5:$I$204)-ROW('⚡ COMMAND TRACKER'!$I$5)+1,0),"")),"")</f>
        <v/>
      </c>
      <c r="B18" s="17" t="str">
        <f aca="false">IFERROR(INDEX('⚡ COMMAND TRACKER'!$E$5:$E$204,IFERROR(MATCH(SMALL(IF('⚡ COMMAND TRACKER'!$I$5:$I$204="Booked Meeting",ROW('⚡ COMMAND TRACKER'!$I$5:$I$204)-ROW('⚡ COMMAND TRACKER'!$I$5)+1),15),ROW('⚡ COMMAND TRACKER'!$I$5:$I$204)-ROW('⚡ COMMAND TRACKER'!$I$5)+1,0),"")),"")</f>
        <v/>
      </c>
      <c r="C18" s="27" t="str">
        <f aca="false">IFERROR(INDEX('⚡ COMMAND TRACKER'!$B$5:$B$204,IFERROR(MATCH(SMALL(IF('⚡ COMMAND TRACKER'!$I$5:$I$204="Booked Meeting",ROW('⚡ COMMAND TRACKER'!$I$5:$I$204)-ROW('⚡ COMMAND TRACKER'!$I$5)+1),15),ROW('⚡ COMMAND TRACKER'!$I$5:$I$204)-ROW('⚡ COMMAND TRACKER'!$I$5)+1,0),"")),"")</f>
        <v/>
      </c>
      <c r="D18" s="18" t="str">
        <f aca="false">IFERROR(INDEX('⚡ COMMAND TRACKER'!$H$5:$H$204,IFERROR(MATCH(SMALL(IF('⚡ COMMAND TRACKER'!$I$5:$I$204="Booked Meeting",ROW('⚡ COMMAND TRACKER'!$I$5:$I$204)-ROW('⚡ COMMAND TRACKER'!$I$5)+1),15),ROW('⚡ COMMAND TRACKER'!$I$5:$I$204)-ROW('⚡ COMMAND TRACKER'!$I$5)+1,0),"")),"")</f>
        <v/>
      </c>
      <c r="E18" s="18" t="str">
        <f aca="false">IFERROR(INDEX('⚡ COMMAND TRACKER'!$V$5:$V$204,IFERROR(MATCH(SMALL(IF('⚡ COMMAND TRACKER'!$I$5:$I$204="Booked Meeting",ROW('⚡ COMMAND TRACKER'!$I$5:$I$204)-ROW('⚡ COMMAND TRACKER'!$I$5)+1),15),ROW('⚡ COMMAND TRACKER'!$I$5:$I$204)-ROW('⚡ COMMAND TRACKER'!$I$5)+1,0),"")),"")</f>
        <v/>
      </c>
      <c r="F18" s="28" t="str">
        <f aca="false">IFERROR(INDEX('⚡ COMMAND TRACKER'!$Y$5:$Y$204,IFERROR(MATCH(SMALL(IF('⚡ COMMAND TRACKER'!$I$5:$I$204="Booked Meeting",ROW('⚡ COMMAND TRACKER'!$I$5:$I$204)-ROW('⚡ COMMAND TRACKER'!$I$5)+1),15),ROW('⚡ COMMAND TRACKER'!$I$5:$I$204)-ROW('⚡ COMMAND TRACKER'!$I$5)+1,0),"")),"")</f>
        <v/>
      </c>
      <c r="G18" s="18" t="str">
        <f aca="false">IFERROR(INDEX('⚡ COMMAND TRACKER'!$Z$5:$Z$204,IFERROR(MATCH(SMALL(IF('⚡ COMMAND TRACKER'!$I$5:$I$204="Booked Meeting",ROW('⚡ COMMAND TRACKER'!$I$5:$I$204)-ROW('⚡ COMMAND TRACKER'!$I$5)+1),15),ROW('⚡ COMMAND TRACKER'!$I$5:$I$204)-ROW('⚡ COMMAND TRACKER'!$I$5)+1,0),"")),"")</f>
        <v/>
      </c>
      <c r="H18" s="17" t="str">
        <f aca="false">IFERROR(INDEX('⚡ COMMAND TRACKER'!$M$5:$M$204,IFERROR(MATCH(SMALL(IF('⚡ COMMAND TRACKER'!$I$5:$I$204="Booked Meeting",ROW('⚡ COMMAND TRACKER'!$I$5:$I$204)-ROW('⚡ COMMAND TRACKER'!$I$5)+1),15),ROW('⚡ COMMAND TRACKER'!$I$5:$I$204)-ROW('⚡ COMMAND TRACKER'!$I$5)+1,0),"")),"")</f>
        <v/>
      </c>
      <c r="I18" s="21" t="str">
        <f aca="false">IFERROR(INDEX('⚡ COMMAND TRACKER'!$AC$5:$AC$204,IFERROR(MATCH(SMALL(IF('⚡ COMMAND TRACKER'!$I$5:$I$204="Booked Meeting",ROW('⚡ COMMAND TRACKER'!$I$5:$I$204)-ROW('⚡ COMMAND TRACKER'!$I$5)+1),15),ROW('⚡ COMMAND TRACKER'!$I$5:$I$204)-ROW('⚡ COMMAND TRACKER'!$I$5)+1,0),"")),"")</f>
        <v/>
      </c>
      <c r="J18" s="17" t="str">
        <f aca="false">IFERROR(INDEX('⚡ COMMAND TRACKER'!$AE$5:$AE$204,IFERROR(MATCH(SMALL(IF('⚡ COMMAND TRACKER'!$I$5:$I$204="Booked Meeting",ROW('⚡ COMMAND TRACKER'!$I$5:$I$204)-ROW('⚡ COMMAND TRACKER'!$I$5)+1),15),ROW('⚡ COMMAND TRACKER'!$I$5:$I$204)-ROW('⚡ COMMAND TRACKER'!$I$5)+1,0),"")),"")</f>
        <v/>
      </c>
    </row>
    <row r="19" customFormat="false" ht="19.5" hidden="false" customHeight="true" outlineLevel="0" collapsed="false">
      <c r="A19" s="10" t="str">
        <f aca="false">IFERROR(INDEX('⚡ COMMAND TRACKER'!$A$5:$A$204,IFERROR(MATCH(SMALL(IF('⚡ COMMAND TRACKER'!$I$5:$I$204="Booked Meeting",ROW('⚡ COMMAND TRACKER'!$I$5:$I$204)-ROW('⚡ COMMAND TRACKER'!$I$5)+1),16),ROW('⚡ COMMAND TRACKER'!$I$5:$I$204)-ROW('⚡ COMMAND TRACKER'!$I$5)+1,0),"")),"")</f>
        <v/>
      </c>
      <c r="B19" s="10" t="str">
        <f aca="false">IFERROR(INDEX('⚡ COMMAND TRACKER'!$E$5:$E$204,IFERROR(MATCH(SMALL(IF('⚡ COMMAND TRACKER'!$I$5:$I$204="Booked Meeting",ROW('⚡ COMMAND TRACKER'!$I$5:$I$204)-ROW('⚡ COMMAND TRACKER'!$I$5)+1),16),ROW('⚡ COMMAND TRACKER'!$I$5:$I$204)-ROW('⚡ COMMAND TRACKER'!$I$5)+1,0),"")),"")</f>
        <v/>
      </c>
      <c r="C19" s="30" t="str">
        <f aca="false">IFERROR(INDEX('⚡ COMMAND TRACKER'!$B$5:$B$204,IFERROR(MATCH(SMALL(IF('⚡ COMMAND TRACKER'!$I$5:$I$204="Booked Meeting",ROW('⚡ COMMAND TRACKER'!$I$5:$I$204)-ROW('⚡ COMMAND TRACKER'!$I$5)+1),16),ROW('⚡ COMMAND TRACKER'!$I$5:$I$204)-ROW('⚡ COMMAND TRACKER'!$I$5)+1,0),"")),"")</f>
        <v/>
      </c>
      <c r="D19" s="11" t="str">
        <f aca="false">IFERROR(INDEX('⚡ COMMAND TRACKER'!$H$5:$H$204,IFERROR(MATCH(SMALL(IF('⚡ COMMAND TRACKER'!$I$5:$I$204="Booked Meeting",ROW('⚡ COMMAND TRACKER'!$I$5:$I$204)-ROW('⚡ COMMAND TRACKER'!$I$5)+1),16),ROW('⚡ COMMAND TRACKER'!$I$5:$I$204)-ROW('⚡ COMMAND TRACKER'!$I$5)+1,0),"")),"")</f>
        <v/>
      </c>
      <c r="E19" s="11" t="str">
        <f aca="false">IFERROR(INDEX('⚡ COMMAND TRACKER'!$V$5:$V$204,IFERROR(MATCH(SMALL(IF('⚡ COMMAND TRACKER'!$I$5:$I$204="Booked Meeting",ROW('⚡ COMMAND TRACKER'!$I$5:$I$204)-ROW('⚡ COMMAND TRACKER'!$I$5)+1),16),ROW('⚡ COMMAND TRACKER'!$I$5:$I$204)-ROW('⚡ COMMAND TRACKER'!$I$5)+1,0),"")),"")</f>
        <v/>
      </c>
      <c r="F19" s="31" t="str">
        <f aca="false">IFERROR(INDEX('⚡ COMMAND TRACKER'!$Y$5:$Y$204,IFERROR(MATCH(SMALL(IF('⚡ COMMAND TRACKER'!$I$5:$I$204="Booked Meeting",ROW('⚡ COMMAND TRACKER'!$I$5:$I$204)-ROW('⚡ COMMAND TRACKER'!$I$5)+1),16),ROW('⚡ COMMAND TRACKER'!$I$5:$I$204)-ROW('⚡ COMMAND TRACKER'!$I$5)+1,0),"")),"")</f>
        <v/>
      </c>
      <c r="G19" s="11" t="str">
        <f aca="false">IFERROR(INDEX('⚡ COMMAND TRACKER'!$Z$5:$Z$204,IFERROR(MATCH(SMALL(IF('⚡ COMMAND TRACKER'!$I$5:$I$204="Booked Meeting",ROW('⚡ COMMAND TRACKER'!$I$5:$I$204)-ROW('⚡ COMMAND TRACKER'!$I$5)+1),16),ROW('⚡ COMMAND TRACKER'!$I$5:$I$204)-ROW('⚡ COMMAND TRACKER'!$I$5)+1,0),"")),"")</f>
        <v/>
      </c>
      <c r="H19" s="10" t="str">
        <f aca="false">IFERROR(INDEX('⚡ COMMAND TRACKER'!$M$5:$M$204,IFERROR(MATCH(SMALL(IF('⚡ COMMAND TRACKER'!$I$5:$I$204="Booked Meeting",ROW('⚡ COMMAND TRACKER'!$I$5:$I$204)-ROW('⚡ COMMAND TRACKER'!$I$5)+1),16),ROW('⚡ COMMAND TRACKER'!$I$5:$I$204)-ROW('⚡ COMMAND TRACKER'!$I$5)+1,0),"")),"")</f>
        <v/>
      </c>
      <c r="I19" s="14" t="str">
        <f aca="false">IFERROR(INDEX('⚡ COMMAND TRACKER'!$AC$5:$AC$204,IFERROR(MATCH(SMALL(IF('⚡ COMMAND TRACKER'!$I$5:$I$204="Booked Meeting",ROW('⚡ COMMAND TRACKER'!$I$5:$I$204)-ROW('⚡ COMMAND TRACKER'!$I$5)+1),16),ROW('⚡ COMMAND TRACKER'!$I$5:$I$204)-ROW('⚡ COMMAND TRACKER'!$I$5)+1,0),"")),"")</f>
        <v/>
      </c>
      <c r="J19" s="10" t="str">
        <f aca="false">IFERROR(INDEX('⚡ COMMAND TRACKER'!$AE$5:$AE$204,IFERROR(MATCH(SMALL(IF('⚡ COMMAND TRACKER'!$I$5:$I$204="Booked Meeting",ROW('⚡ COMMAND TRACKER'!$I$5:$I$204)-ROW('⚡ COMMAND TRACKER'!$I$5)+1),16),ROW('⚡ COMMAND TRACKER'!$I$5:$I$204)-ROW('⚡ COMMAND TRACKER'!$I$5)+1,0),"")),"")</f>
        <v/>
      </c>
    </row>
    <row r="20" customFormat="false" ht="19.5" hidden="false" customHeight="true" outlineLevel="0" collapsed="false">
      <c r="A20" s="17" t="str">
        <f aca="false">IFERROR(INDEX('⚡ COMMAND TRACKER'!$A$5:$A$204,IFERROR(MATCH(SMALL(IF('⚡ COMMAND TRACKER'!$I$5:$I$204="Booked Meeting",ROW('⚡ COMMAND TRACKER'!$I$5:$I$204)-ROW('⚡ COMMAND TRACKER'!$I$5)+1),17),ROW('⚡ COMMAND TRACKER'!$I$5:$I$204)-ROW('⚡ COMMAND TRACKER'!$I$5)+1,0),"")),"")</f>
        <v/>
      </c>
      <c r="B20" s="17" t="str">
        <f aca="false">IFERROR(INDEX('⚡ COMMAND TRACKER'!$E$5:$E$204,IFERROR(MATCH(SMALL(IF('⚡ COMMAND TRACKER'!$I$5:$I$204="Booked Meeting",ROW('⚡ COMMAND TRACKER'!$I$5:$I$204)-ROW('⚡ COMMAND TRACKER'!$I$5)+1),17),ROW('⚡ COMMAND TRACKER'!$I$5:$I$204)-ROW('⚡ COMMAND TRACKER'!$I$5)+1,0),"")),"")</f>
        <v/>
      </c>
      <c r="C20" s="27" t="str">
        <f aca="false">IFERROR(INDEX('⚡ COMMAND TRACKER'!$B$5:$B$204,IFERROR(MATCH(SMALL(IF('⚡ COMMAND TRACKER'!$I$5:$I$204="Booked Meeting",ROW('⚡ COMMAND TRACKER'!$I$5:$I$204)-ROW('⚡ COMMAND TRACKER'!$I$5)+1),17),ROW('⚡ COMMAND TRACKER'!$I$5:$I$204)-ROW('⚡ COMMAND TRACKER'!$I$5)+1,0),"")),"")</f>
        <v/>
      </c>
      <c r="D20" s="18" t="str">
        <f aca="false">IFERROR(INDEX('⚡ COMMAND TRACKER'!$H$5:$H$204,IFERROR(MATCH(SMALL(IF('⚡ COMMAND TRACKER'!$I$5:$I$204="Booked Meeting",ROW('⚡ COMMAND TRACKER'!$I$5:$I$204)-ROW('⚡ COMMAND TRACKER'!$I$5)+1),17),ROW('⚡ COMMAND TRACKER'!$I$5:$I$204)-ROW('⚡ COMMAND TRACKER'!$I$5)+1,0),"")),"")</f>
        <v/>
      </c>
      <c r="E20" s="18" t="str">
        <f aca="false">IFERROR(INDEX('⚡ COMMAND TRACKER'!$V$5:$V$204,IFERROR(MATCH(SMALL(IF('⚡ COMMAND TRACKER'!$I$5:$I$204="Booked Meeting",ROW('⚡ COMMAND TRACKER'!$I$5:$I$204)-ROW('⚡ COMMAND TRACKER'!$I$5)+1),17),ROW('⚡ COMMAND TRACKER'!$I$5:$I$204)-ROW('⚡ COMMAND TRACKER'!$I$5)+1,0),"")),"")</f>
        <v/>
      </c>
      <c r="F20" s="28" t="str">
        <f aca="false">IFERROR(INDEX('⚡ COMMAND TRACKER'!$Y$5:$Y$204,IFERROR(MATCH(SMALL(IF('⚡ COMMAND TRACKER'!$I$5:$I$204="Booked Meeting",ROW('⚡ COMMAND TRACKER'!$I$5:$I$204)-ROW('⚡ COMMAND TRACKER'!$I$5)+1),17),ROW('⚡ COMMAND TRACKER'!$I$5:$I$204)-ROW('⚡ COMMAND TRACKER'!$I$5)+1,0),"")),"")</f>
        <v/>
      </c>
      <c r="G20" s="18" t="str">
        <f aca="false">IFERROR(INDEX('⚡ COMMAND TRACKER'!$Z$5:$Z$204,IFERROR(MATCH(SMALL(IF('⚡ COMMAND TRACKER'!$I$5:$I$204="Booked Meeting",ROW('⚡ COMMAND TRACKER'!$I$5:$I$204)-ROW('⚡ COMMAND TRACKER'!$I$5)+1),17),ROW('⚡ COMMAND TRACKER'!$I$5:$I$204)-ROW('⚡ COMMAND TRACKER'!$I$5)+1,0),"")),"")</f>
        <v/>
      </c>
      <c r="H20" s="17" t="str">
        <f aca="false">IFERROR(INDEX('⚡ COMMAND TRACKER'!$M$5:$M$204,IFERROR(MATCH(SMALL(IF('⚡ COMMAND TRACKER'!$I$5:$I$204="Booked Meeting",ROW('⚡ COMMAND TRACKER'!$I$5:$I$204)-ROW('⚡ COMMAND TRACKER'!$I$5)+1),17),ROW('⚡ COMMAND TRACKER'!$I$5:$I$204)-ROW('⚡ COMMAND TRACKER'!$I$5)+1,0),"")),"")</f>
        <v/>
      </c>
      <c r="I20" s="21" t="str">
        <f aca="false">IFERROR(INDEX('⚡ COMMAND TRACKER'!$AC$5:$AC$204,IFERROR(MATCH(SMALL(IF('⚡ COMMAND TRACKER'!$I$5:$I$204="Booked Meeting",ROW('⚡ COMMAND TRACKER'!$I$5:$I$204)-ROW('⚡ COMMAND TRACKER'!$I$5)+1),17),ROW('⚡ COMMAND TRACKER'!$I$5:$I$204)-ROW('⚡ COMMAND TRACKER'!$I$5)+1,0),"")),"")</f>
        <v/>
      </c>
      <c r="J20" s="17" t="str">
        <f aca="false">IFERROR(INDEX('⚡ COMMAND TRACKER'!$AE$5:$AE$204,IFERROR(MATCH(SMALL(IF('⚡ COMMAND TRACKER'!$I$5:$I$204="Booked Meeting",ROW('⚡ COMMAND TRACKER'!$I$5:$I$204)-ROW('⚡ COMMAND TRACKER'!$I$5)+1),17),ROW('⚡ COMMAND TRACKER'!$I$5:$I$204)-ROW('⚡ COMMAND TRACKER'!$I$5)+1,0),"")),"")</f>
        <v/>
      </c>
    </row>
    <row r="21" customFormat="false" ht="19.5" hidden="false" customHeight="true" outlineLevel="0" collapsed="false">
      <c r="A21" s="10" t="str">
        <f aca="false">IFERROR(INDEX('⚡ COMMAND TRACKER'!$A$5:$A$204,IFERROR(MATCH(SMALL(IF('⚡ COMMAND TRACKER'!$I$5:$I$204="Booked Meeting",ROW('⚡ COMMAND TRACKER'!$I$5:$I$204)-ROW('⚡ COMMAND TRACKER'!$I$5)+1),18),ROW('⚡ COMMAND TRACKER'!$I$5:$I$204)-ROW('⚡ COMMAND TRACKER'!$I$5)+1,0),"")),"")</f>
        <v/>
      </c>
      <c r="B21" s="10" t="str">
        <f aca="false">IFERROR(INDEX('⚡ COMMAND TRACKER'!$E$5:$E$204,IFERROR(MATCH(SMALL(IF('⚡ COMMAND TRACKER'!$I$5:$I$204="Booked Meeting",ROW('⚡ COMMAND TRACKER'!$I$5:$I$204)-ROW('⚡ COMMAND TRACKER'!$I$5)+1),18),ROW('⚡ COMMAND TRACKER'!$I$5:$I$204)-ROW('⚡ COMMAND TRACKER'!$I$5)+1,0),"")),"")</f>
        <v/>
      </c>
      <c r="C21" s="30" t="str">
        <f aca="false">IFERROR(INDEX('⚡ COMMAND TRACKER'!$B$5:$B$204,IFERROR(MATCH(SMALL(IF('⚡ COMMAND TRACKER'!$I$5:$I$204="Booked Meeting",ROW('⚡ COMMAND TRACKER'!$I$5:$I$204)-ROW('⚡ COMMAND TRACKER'!$I$5)+1),18),ROW('⚡ COMMAND TRACKER'!$I$5:$I$204)-ROW('⚡ COMMAND TRACKER'!$I$5)+1,0),"")),"")</f>
        <v/>
      </c>
      <c r="D21" s="11" t="str">
        <f aca="false">IFERROR(INDEX('⚡ COMMAND TRACKER'!$H$5:$H$204,IFERROR(MATCH(SMALL(IF('⚡ COMMAND TRACKER'!$I$5:$I$204="Booked Meeting",ROW('⚡ COMMAND TRACKER'!$I$5:$I$204)-ROW('⚡ COMMAND TRACKER'!$I$5)+1),18),ROW('⚡ COMMAND TRACKER'!$I$5:$I$204)-ROW('⚡ COMMAND TRACKER'!$I$5)+1,0),"")),"")</f>
        <v/>
      </c>
      <c r="E21" s="11" t="str">
        <f aca="false">IFERROR(INDEX('⚡ COMMAND TRACKER'!$V$5:$V$204,IFERROR(MATCH(SMALL(IF('⚡ COMMAND TRACKER'!$I$5:$I$204="Booked Meeting",ROW('⚡ COMMAND TRACKER'!$I$5:$I$204)-ROW('⚡ COMMAND TRACKER'!$I$5)+1),18),ROW('⚡ COMMAND TRACKER'!$I$5:$I$204)-ROW('⚡ COMMAND TRACKER'!$I$5)+1,0),"")),"")</f>
        <v/>
      </c>
      <c r="F21" s="31" t="str">
        <f aca="false">IFERROR(INDEX('⚡ COMMAND TRACKER'!$Y$5:$Y$204,IFERROR(MATCH(SMALL(IF('⚡ COMMAND TRACKER'!$I$5:$I$204="Booked Meeting",ROW('⚡ COMMAND TRACKER'!$I$5:$I$204)-ROW('⚡ COMMAND TRACKER'!$I$5)+1),18),ROW('⚡ COMMAND TRACKER'!$I$5:$I$204)-ROW('⚡ COMMAND TRACKER'!$I$5)+1,0),"")),"")</f>
        <v/>
      </c>
      <c r="G21" s="11" t="str">
        <f aca="false">IFERROR(INDEX('⚡ COMMAND TRACKER'!$Z$5:$Z$204,IFERROR(MATCH(SMALL(IF('⚡ COMMAND TRACKER'!$I$5:$I$204="Booked Meeting",ROW('⚡ COMMAND TRACKER'!$I$5:$I$204)-ROW('⚡ COMMAND TRACKER'!$I$5)+1),18),ROW('⚡ COMMAND TRACKER'!$I$5:$I$204)-ROW('⚡ COMMAND TRACKER'!$I$5)+1,0),"")),"")</f>
        <v/>
      </c>
      <c r="H21" s="10" t="str">
        <f aca="false">IFERROR(INDEX('⚡ COMMAND TRACKER'!$M$5:$M$204,IFERROR(MATCH(SMALL(IF('⚡ COMMAND TRACKER'!$I$5:$I$204="Booked Meeting",ROW('⚡ COMMAND TRACKER'!$I$5:$I$204)-ROW('⚡ COMMAND TRACKER'!$I$5)+1),18),ROW('⚡ COMMAND TRACKER'!$I$5:$I$204)-ROW('⚡ COMMAND TRACKER'!$I$5)+1,0),"")),"")</f>
        <v/>
      </c>
      <c r="I21" s="14" t="str">
        <f aca="false">IFERROR(INDEX('⚡ COMMAND TRACKER'!$AC$5:$AC$204,IFERROR(MATCH(SMALL(IF('⚡ COMMAND TRACKER'!$I$5:$I$204="Booked Meeting",ROW('⚡ COMMAND TRACKER'!$I$5:$I$204)-ROW('⚡ COMMAND TRACKER'!$I$5)+1),18),ROW('⚡ COMMAND TRACKER'!$I$5:$I$204)-ROW('⚡ COMMAND TRACKER'!$I$5)+1,0),"")),"")</f>
        <v/>
      </c>
      <c r="J21" s="10" t="str">
        <f aca="false">IFERROR(INDEX('⚡ COMMAND TRACKER'!$AE$5:$AE$204,IFERROR(MATCH(SMALL(IF('⚡ COMMAND TRACKER'!$I$5:$I$204="Booked Meeting",ROW('⚡ COMMAND TRACKER'!$I$5:$I$204)-ROW('⚡ COMMAND TRACKER'!$I$5)+1),18),ROW('⚡ COMMAND TRACKER'!$I$5:$I$204)-ROW('⚡ COMMAND TRACKER'!$I$5)+1,0),"")),"")</f>
        <v/>
      </c>
    </row>
    <row r="22" customFormat="false" ht="19.5" hidden="false" customHeight="true" outlineLevel="0" collapsed="false">
      <c r="A22" s="17" t="str">
        <f aca="false">IFERROR(INDEX('⚡ COMMAND TRACKER'!$A$5:$A$204,IFERROR(MATCH(SMALL(IF('⚡ COMMAND TRACKER'!$I$5:$I$204="Booked Meeting",ROW('⚡ COMMAND TRACKER'!$I$5:$I$204)-ROW('⚡ COMMAND TRACKER'!$I$5)+1),19),ROW('⚡ COMMAND TRACKER'!$I$5:$I$204)-ROW('⚡ COMMAND TRACKER'!$I$5)+1,0),"")),"")</f>
        <v/>
      </c>
      <c r="B22" s="17" t="str">
        <f aca="false">IFERROR(INDEX('⚡ COMMAND TRACKER'!$E$5:$E$204,IFERROR(MATCH(SMALL(IF('⚡ COMMAND TRACKER'!$I$5:$I$204="Booked Meeting",ROW('⚡ COMMAND TRACKER'!$I$5:$I$204)-ROW('⚡ COMMAND TRACKER'!$I$5)+1),19),ROW('⚡ COMMAND TRACKER'!$I$5:$I$204)-ROW('⚡ COMMAND TRACKER'!$I$5)+1,0),"")),"")</f>
        <v/>
      </c>
      <c r="C22" s="27" t="str">
        <f aca="false">IFERROR(INDEX('⚡ COMMAND TRACKER'!$B$5:$B$204,IFERROR(MATCH(SMALL(IF('⚡ COMMAND TRACKER'!$I$5:$I$204="Booked Meeting",ROW('⚡ COMMAND TRACKER'!$I$5:$I$204)-ROW('⚡ COMMAND TRACKER'!$I$5)+1),19),ROW('⚡ COMMAND TRACKER'!$I$5:$I$204)-ROW('⚡ COMMAND TRACKER'!$I$5)+1,0),"")),"")</f>
        <v/>
      </c>
      <c r="D22" s="18" t="str">
        <f aca="false">IFERROR(INDEX('⚡ COMMAND TRACKER'!$H$5:$H$204,IFERROR(MATCH(SMALL(IF('⚡ COMMAND TRACKER'!$I$5:$I$204="Booked Meeting",ROW('⚡ COMMAND TRACKER'!$I$5:$I$204)-ROW('⚡ COMMAND TRACKER'!$I$5)+1),19),ROW('⚡ COMMAND TRACKER'!$I$5:$I$204)-ROW('⚡ COMMAND TRACKER'!$I$5)+1,0),"")),"")</f>
        <v/>
      </c>
      <c r="E22" s="18" t="str">
        <f aca="false">IFERROR(INDEX('⚡ COMMAND TRACKER'!$V$5:$V$204,IFERROR(MATCH(SMALL(IF('⚡ COMMAND TRACKER'!$I$5:$I$204="Booked Meeting",ROW('⚡ COMMAND TRACKER'!$I$5:$I$204)-ROW('⚡ COMMAND TRACKER'!$I$5)+1),19),ROW('⚡ COMMAND TRACKER'!$I$5:$I$204)-ROW('⚡ COMMAND TRACKER'!$I$5)+1,0),"")),"")</f>
        <v/>
      </c>
      <c r="F22" s="28" t="str">
        <f aca="false">IFERROR(INDEX('⚡ COMMAND TRACKER'!$Y$5:$Y$204,IFERROR(MATCH(SMALL(IF('⚡ COMMAND TRACKER'!$I$5:$I$204="Booked Meeting",ROW('⚡ COMMAND TRACKER'!$I$5:$I$204)-ROW('⚡ COMMAND TRACKER'!$I$5)+1),19),ROW('⚡ COMMAND TRACKER'!$I$5:$I$204)-ROW('⚡ COMMAND TRACKER'!$I$5)+1,0),"")),"")</f>
        <v/>
      </c>
      <c r="G22" s="18" t="str">
        <f aca="false">IFERROR(INDEX('⚡ COMMAND TRACKER'!$Z$5:$Z$204,IFERROR(MATCH(SMALL(IF('⚡ COMMAND TRACKER'!$I$5:$I$204="Booked Meeting",ROW('⚡ COMMAND TRACKER'!$I$5:$I$204)-ROW('⚡ COMMAND TRACKER'!$I$5)+1),19),ROW('⚡ COMMAND TRACKER'!$I$5:$I$204)-ROW('⚡ COMMAND TRACKER'!$I$5)+1,0),"")),"")</f>
        <v/>
      </c>
      <c r="H22" s="17" t="str">
        <f aca="false">IFERROR(INDEX('⚡ COMMAND TRACKER'!$M$5:$M$204,IFERROR(MATCH(SMALL(IF('⚡ COMMAND TRACKER'!$I$5:$I$204="Booked Meeting",ROW('⚡ COMMAND TRACKER'!$I$5:$I$204)-ROW('⚡ COMMAND TRACKER'!$I$5)+1),19),ROW('⚡ COMMAND TRACKER'!$I$5:$I$204)-ROW('⚡ COMMAND TRACKER'!$I$5)+1,0),"")),"")</f>
        <v/>
      </c>
      <c r="I22" s="21" t="str">
        <f aca="false">IFERROR(INDEX('⚡ COMMAND TRACKER'!$AC$5:$AC$204,IFERROR(MATCH(SMALL(IF('⚡ COMMAND TRACKER'!$I$5:$I$204="Booked Meeting",ROW('⚡ COMMAND TRACKER'!$I$5:$I$204)-ROW('⚡ COMMAND TRACKER'!$I$5)+1),19),ROW('⚡ COMMAND TRACKER'!$I$5:$I$204)-ROW('⚡ COMMAND TRACKER'!$I$5)+1,0),"")),"")</f>
        <v/>
      </c>
      <c r="J22" s="17" t="str">
        <f aca="false">IFERROR(INDEX('⚡ COMMAND TRACKER'!$AE$5:$AE$204,IFERROR(MATCH(SMALL(IF('⚡ COMMAND TRACKER'!$I$5:$I$204="Booked Meeting",ROW('⚡ COMMAND TRACKER'!$I$5:$I$204)-ROW('⚡ COMMAND TRACKER'!$I$5)+1),19),ROW('⚡ COMMAND TRACKER'!$I$5:$I$204)-ROW('⚡ COMMAND TRACKER'!$I$5)+1,0),"")),"")</f>
        <v/>
      </c>
    </row>
    <row r="23" customFormat="false" ht="19.5" hidden="false" customHeight="true" outlineLevel="0" collapsed="false">
      <c r="A23" s="10" t="str">
        <f aca="false">IFERROR(INDEX('⚡ COMMAND TRACKER'!$A$5:$A$204,IFERROR(MATCH(SMALL(IF('⚡ COMMAND TRACKER'!$I$5:$I$204="Booked Meeting",ROW('⚡ COMMAND TRACKER'!$I$5:$I$204)-ROW('⚡ COMMAND TRACKER'!$I$5)+1),20),ROW('⚡ COMMAND TRACKER'!$I$5:$I$204)-ROW('⚡ COMMAND TRACKER'!$I$5)+1,0),"")),"")</f>
        <v/>
      </c>
      <c r="B23" s="10" t="str">
        <f aca="false">IFERROR(INDEX('⚡ COMMAND TRACKER'!$E$5:$E$204,IFERROR(MATCH(SMALL(IF('⚡ COMMAND TRACKER'!$I$5:$I$204="Booked Meeting",ROW('⚡ COMMAND TRACKER'!$I$5:$I$204)-ROW('⚡ COMMAND TRACKER'!$I$5)+1),20),ROW('⚡ COMMAND TRACKER'!$I$5:$I$204)-ROW('⚡ COMMAND TRACKER'!$I$5)+1,0),"")),"")</f>
        <v/>
      </c>
      <c r="C23" s="30" t="str">
        <f aca="false">IFERROR(INDEX('⚡ COMMAND TRACKER'!$B$5:$B$204,IFERROR(MATCH(SMALL(IF('⚡ COMMAND TRACKER'!$I$5:$I$204="Booked Meeting",ROW('⚡ COMMAND TRACKER'!$I$5:$I$204)-ROW('⚡ COMMAND TRACKER'!$I$5)+1),20),ROW('⚡ COMMAND TRACKER'!$I$5:$I$204)-ROW('⚡ COMMAND TRACKER'!$I$5)+1,0),"")),"")</f>
        <v/>
      </c>
      <c r="D23" s="11" t="str">
        <f aca="false">IFERROR(INDEX('⚡ COMMAND TRACKER'!$H$5:$H$204,IFERROR(MATCH(SMALL(IF('⚡ COMMAND TRACKER'!$I$5:$I$204="Booked Meeting",ROW('⚡ COMMAND TRACKER'!$I$5:$I$204)-ROW('⚡ COMMAND TRACKER'!$I$5)+1),20),ROW('⚡ COMMAND TRACKER'!$I$5:$I$204)-ROW('⚡ COMMAND TRACKER'!$I$5)+1,0),"")),"")</f>
        <v/>
      </c>
      <c r="E23" s="11" t="str">
        <f aca="false">IFERROR(INDEX('⚡ COMMAND TRACKER'!$V$5:$V$204,IFERROR(MATCH(SMALL(IF('⚡ COMMAND TRACKER'!$I$5:$I$204="Booked Meeting",ROW('⚡ COMMAND TRACKER'!$I$5:$I$204)-ROW('⚡ COMMAND TRACKER'!$I$5)+1),20),ROW('⚡ COMMAND TRACKER'!$I$5:$I$204)-ROW('⚡ COMMAND TRACKER'!$I$5)+1,0),"")),"")</f>
        <v/>
      </c>
      <c r="F23" s="31" t="str">
        <f aca="false">IFERROR(INDEX('⚡ COMMAND TRACKER'!$Y$5:$Y$204,IFERROR(MATCH(SMALL(IF('⚡ COMMAND TRACKER'!$I$5:$I$204="Booked Meeting",ROW('⚡ COMMAND TRACKER'!$I$5:$I$204)-ROW('⚡ COMMAND TRACKER'!$I$5)+1),20),ROW('⚡ COMMAND TRACKER'!$I$5:$I$204)-ROW('⚡ COMMAND TRACKER'!$I$5)+1,0),"")),"")</f>
        <v/>
      </c>
      <c r="G23" s="11" t="str">
        <f aca="false">IFERROR(INDEX('⚡ COMMAND TRACKER'!$Z$5:$Z$204,IFERROR(MATCH(SMALL(IF('⚡ COMMAND TRACKER'!$I$5:$I$204="Booked Meeting",ROW('⚡ COMMAND TRACKER'!$I$5:$I$204)-ROW('⚡ COMMAND TRACKER'!$I$5)+1),20),ROW('⚡ COMMAND TRACKER'!$I$5:$I$204)-ROW('⚡ COMMAND TRACKER'!$I$5)+1,0),"")),"")</f>
        <v/>
      </c>
      <c r="H23" s="10" t="str">
        <f aca="false">IFERROR(INDEX('⚡ COMMAND TRACKER'!$M$5:$M$204,IFERROR(MATCH(SMALL(IF('⚡ COMMAND TRACKER'!$I$5:$I$204="Booked Meeting",ROW('⚡ COMMAND TRACKER'!$I$5:$I$204)-ROW('⚡ COMMAND TRACKER'!$I$5)+1),20),ROW('⚡ COMMAND TRACKER'!$I$5:$I$204)-ROW('⚡ COMMAND TRACKER'!$I$5)+1,0),"")),"")</f>
        <v/>
      </c>
      <c r="I23" s="14" t="str">
        <f aca="false">IFERROR(INDEX('⚡ COMMAND TRACKER'!$AC$5:$AC$204,IFERROR(MATCH(SMALL(IF('⚡ COMMAND TRACKER'!$I$5:$I$204="Booked Meeting",ROW('⚡ COMMAND TRACKER'!$I$5:$I$204)-ROW('⚡ COMMAND TRACKER'!$I$5)+1),20),ROW('⚡ COMMAND TRACKER'!$I$5:$I$204)-ROW('⚡ COMMAND TRACKER'!$I$5)+1,0),"")),"")</f>
        <v/>
      </c>
      <c r="J23" s="10" t="str">
        <f aca="false">IFERROR(INDEX('⚡ COMMAND TRACKER'!$AE$5:$AE$204,IFERROR(MATCH(SMALL(IF('⚡ COMMAND TRACKER'!$I$5:$I$204="Booked Meeting",ROW('⚡ COMMAND TRACKER'!$I$5:$I$204)-ROW('⚡ COMMAND TRACKER'!$I$5)+1),20),ROW('⚡ COMMAND TRACKER'!$I$5:$I$204)-ROW('⚡ COMMAND TRACKER'!$I$5)+1,0),"")),"")</f>
        <v/>
      </c>
    </row>
    <row r="24" customFormat="false" ht="19.5" hidden="false" customHeight="true" outlineLevel="0" collapsed="false">
      <c r="A24" s="17" t="str">
        <f aca="false">IFERROR(INDEX('⚡ COMMAND TRACKER'!$A$5:$A$204,IFERROR(MATCH(SMALL(IF('⚡ COMMAND TRACKER'!$I$5:$I$204="Booked Meeting",ROW('⚡ COMMAND TRACKER'!$I$5:$I$204)-ROW('⚡ COMMAND TRACKER'!$I$5)+1),21),ROW('⚡ COMMAND TRACKER'!$I$5:$I$204)-ROW('⚡ COMMAND TRACKER'!$I$5)+1,0),"")),"")</f>
        <v/>
      </c>
      <c r="B24" s="17" t="str">
        <f aca="false">IFERROR(INDEX('⚡ COMMAND TRACKER'!$E$5:$E$204,IFERROR(MATCH(SMALL(IF('⚡ COMMAND TRACKER'!$I$5:$I$204="Booked Meeting",ROW('⚡ COMMAND TRACKER'!$I$5:$I$204)-ROW('⚡ COMMAND TRACKER'!$I$5)+1),21),ROW('⚡ COMMAND TRACKER'!$I$5:$I$204)-ROW('⚡ COMMAND TRACKER'!$I$5)+1,0),"")),"")</f>
        <v/>
      </c>
      <c r="C24" s="27" t="str">
        <f aca="false">IFERROR(INDEX('⚡ COMMAND TRACKER'!$B$5:$B$204,IFERROR(MATCH(SMALL(IF('⚡ COMMAND TRACKER'!$I$5:$I$204="Booked Meeting",ROW('⚡ COMMAND TRACKER'!$I$5:$I$204)-ROW('⚡ COMMAND TRACKER'!$I$5)+1),21),ROW('⚡ COMMAND TRACKER'!$I$5:$I$204)-ROW('⚡ COMMAND TRACKER'!$I$5)+1,0),"")),"")</f>
        <v/>
      </c>
      <c r="D24" s="18" t="str">
        <f aca="false">IFERROR(INDEX('⚡ COMMAND TRACKER'!$H$5:$H$204,IFERROR(MATCH(SMALL(IF('⚡ COMMAND TRACKER'!$I$5:$I$204="Booked Meeting",ROW('⚡ COMMAND TRACKER'!$I$5:$I$204)-ROW('⚡ COMMAND TRACKER'!$I$5)+1),21),ROW('⚡ COMMAND TRACKER'!$I$5:$I$204)-ROW('⚡ COMMAND TRACKER'!$I$5)+1,0),"")),"")</f>
        <v/>
      </c>
      <c r="E24" s="18" t="str">
        <f aca="false">IFERROR(INDEX('⚡ COMMAND TRACKER'!$V$5:$V$204,IFERROR(MATCH(SMALL(IF('⚡ COMMAND TRACKER'!$I$5:$I$204="Booked Meeting",ROW('⚡ COMMAND TRACKER'!$I$5:$I$204)-ROW('⚡ COMMAND TRACKER'!$I$5)+1),21),ROW('⚡ COMMAND TRACKER'!$I$5:$I$204)-ROW('⚡ COMMAND TRACKER'!$I$5)+1,0),"")),"")</f>
        <v/>
      </c>
      <c r="F24" s="28" t="str">
        <f aca="false">IFERROR(INDEX('⚡ COMMAND TRACKER'!$Y$5:$Y$204,IFERROR(MATCH(SMALL(IF('⚡ COMMAND TRACKER'!$I$5:$I$204="Booked Meeting",ROW('⚡ COMMAND TRACKER'!$I$5:$I$204)-ROW('⚡ COMMAND TRACKER'!$I$5)+1),21),ROW('⚡ COMMAND TRACKER'!$I$5:$I$204)-ROW('⚡ COMMAND TRACKER'!$I$5)+1,0),"")),"")</f>
        <v/>
      </c>
      <c r="G24" s="18" t="str">
        <f aca="false">IFERROR(INDEX('⚡ COMMAND TRACKER'!$Z$5:$Z$204,IFERROR(MATCH(SMALL(IF('⚡ COMMAND TRACKER'!$I$5:$I$204="Booked Meeting",ROW('⚡ COMMAND TRACKER'!$I$5:$I$204)-ROW('⚡ COMMAND TRACKER'!$I$5)+1),21),ROW('⚡ COMMAND TRACKER'!$I$5:$I$204)-ROW('⚡ COMMAND TRACKER'!$I$5)+1,0),"")),"")</f>
        <v/>
      </c>
      <c r="H24" s="17" t="str">
        <f aca="false">IFERROR(INDEX('⚡ COMMAND TRACKER'!$M$5:$M$204,IFERROR(MATCH(SMALL(IF('⚡ COMMAND TRACKER'!$I$5:$I$204="Booked Meeting",ROW('⚡ COMMAND TRACKER'!$I$5:$I$204)-ROW('⚡ COMMAND TRACKER'!$I$5)+1),21),ROW('⚡ COMMAND TRACKER'!$I$5:$I$204)-ROW('⚡ COMMAND TRACKER'!$I$5)+1,0),"")),"")</f>
        <v/>
      </c>
      <c r="I24" s="21" t="str">
        <f aca="false">IFERROR(INDEX('⚡ COMMAND TRACKER'!$AC$5:$AC$204,IFERROR(MATCH(SMALL(IF('⚡ COMMAND TRACKER'!$I$5:$I$204="Booked Meeting",ROW('⚡ COMMAND TRACKER'!$I$5:$I$204)-ROW('⚡ COMMAND TRACKER'!$I$5)+1),21),ROW('⚡ COMMAND TRACKER'!$I$5:$I$204)-ROW('⚡ COMMAND TRACKER'!$I$5)+1,0),"")),"")</f>
        <v/>
      </c>
      <c r="J24" s="17" t="str">
        <f aca="false">IFERROR(INDEX('⚡ COMMAND TRACKER'!$AE$5:$AE$204,IFERROR(MATCH(SMALL(IF('⚡ COMMAND TRACKER'!$I$5:$I$204="Booked Meeting",ROW('⚡ COMMAND TRACKER'!$I$5:$I$204)-ROW('⚡ COMMAND TRACKER'!$I$5)+1),21),ROW('⚡ COMMAND TRACKER'!$I$5:$I$204)-ROW('⚡ COMMAND TRACKER'!$I$5)+1,0),"")),"")</f>
        <v/>
      </c>
    </row>
    <row r="25" customFormat="false" ht="19.5" hidden="false" customHeight="true" outlineLevel="0" collapsed="false">
      <c r="A25" s="10" t="str">
        <f aca="false">IFERROR(INDEX('⚡ COMMAND TRACKER'!$A$5:$A$204,IFERROR(MATCH(SMALL(IF('⚡ COMMAND TRACKER'!$I$5:$I$204="Booked Meeting",ROW('⚡ COMMAND TRACKER'!$I$5:$I$204)-ROW('⚡ COMMAND TRACKER'!$I$5)+1),22),ROW('⚡ COMMAND TRACKER'!$I$5:$I$204)-ROW('⚡ COMMAND TRACKER'!$I$5)+1,0),"")),"")</f>
        <v/>
      </c>
      <c r="B25" s="10" t="str">
        <f aca="false">IFERROR(INDEX('⚡ COMMAND TRACKER'!$E$5:$E$204,IFERROR(MATCH(SMALL(IF('⚡ COMMAND TRACKER'!$I$5:$I$204="Booked Meeting",ROW('⚡ COMMAND TRACKER'!$I$5:$I$204)-ROW('⚡ COMMAND TRACKER'!$I$5)+1),22),ROW('⚡ COMMAND TRACKER'!$I$5:$I$204)-ROW('⚡ COMMAND TRACKER'!$I$5)+1,0),"")),"")</f>
        <v/>
      </c>
      <c r="C25" s="30" t="str">
        <f aca="false">IFERROR(INDEX('⚡ COMMAND TRACKER'!$B$5:$B$204,IFERROR(MATCH(SMALL(IF('⚡ COMMAND TRACKER'!$I$5:$I$204="Booked Meeting",ROW('⚡ COMMAND TRACKER'!$I$5:$I$204)-ROW('⚡ COMMAND TRACKER'!$I$5)+1),22),ROW('⚡ COMMAND TRACKER'!$I$5:$I$204)-ROW('⚡ COMMAND TRACKER'!$I$5)+1,0),"")),"")</f>
        <v/>
      </c>
      <c r="D25" s="11" t="str">
        <f aca="false">IFERROR(INDEX('⚡ COMMAND TRACKER'!$H$5:$H$204,IFERROR(MATCH(SMALL(IF('⚡ COMMAND TRACKER'!$I$5:$I$204="Booked Meeting",ROW('⚡ COMMAND TRACKER'!$I$5:$I$204)-ROW('⚡ COMMAND TRACKER'!$I$5)+1),22),ROW('⚡ COMMAND TRACKER'!$I$5:$I$204)-ROW('⚡ COMMAND TRACKER'!$I$5)+1,0),"")),"")</f>
        <v/>
      </c>
      <c r="E25" s="11" t="str">
        <f aca="false">IFERROR(INDEX('⚡ COMMAND TRACKER'!$V$5:$V$204,IFERROR(MATCH(SMALL(IF('⚡ COMMAND TRACKER'!$I$5:$I$204="Booked Meeting",ROW('⚡ COMMAND TRACKER'!$I$5:$I$204)-ROW('⚡ COMMAND TRACKER'!$I$5)+1),22),ROW('⚡ COMMAND TRACKER'!$I$5:$I$204)-ROW('⚡ COMMAND TRACKER'!$I$5)+1,0),"")),"")</f>
        <v/>
      </c>
      <c r="F25" s="31" t="str">
        <f aca="false">IFERROR(INDEX('⚡ COMMAND TRACKER'!$Y$5:$Y$204,IFERROR(MATCH(SMALL(IF('⚡ COMMAND TRACKER'!$I$5:$I$204="Booked Meeting",ROW('⚡ COMMAND TRACKER'!$I$5:$I$204)-ROW('⚡ COMMAND TRACKER'!$I$5)+1),22),ROW('⚡ COMMAND TRACKER'!$I$5:$I$204)-ROW('⚡ COMMAND TRACKER'!$I$5)+1,0),"")),"")</f>
        <v/>
      </c>
      <c r="G25" s="11" t="str">
        <f aca="false">IFERROR(INDEX('⚡ COMMAND TRACKER'!$Z$5:$Z$204,IFERROR(MATCH(SMALL(IF('⚡ COMMAND TRACKER'!$I$5:$I$204="Booked Meeting",ROW('⚡ COMMAND TRACKER'!$I$5:$I$204)-ROW('⚡ COMMAND TRACKER'!$I$5)+1),22),ROW('⚡ COMMAND TRACKER'!$I$5:$I$204)-ROW('⚡ COMMAND TRACKER'!$I$5)+1,0),"")),"")</f>
        <v/>
      </c>
      <c r="H25" s="10" t="str">
        <f aca="false">IFERROR(INDEX('⚡ COMMAND TRACKER'!$M$5:$M$204,IFERROR(MATCH(SMALL(IF('⚡ COMMAND TRACKER'!$I$5:$I$204="Booked Meeting",ROW('⚡ COMMAND TRACKER'!$I$5:$I$204)-ROW('⚡ COMMAND TRACKER'!$I$5)+1),22),ROW('⚡ COMMAND TRACKER'!$I$5:$I$204)-ROW('⚡ COMMAND TRACKER'!$I$5)+1,0),"")),"")</f>
        <v/>
      </c>
      <c r="I25" s="14" t="str">
        <f aca="false">IFERROR(INDEX('⚡ COMMAND TRACKER'!$AC$5:$AC$204,IFERROR(MATCH(SMALL(IF('⚡ COMMAND TRACKER'!$I$5:$I$204="Booked Meeting",ROW('⚡ COMMAND TRACKER'!$I$5:$I$204)-ROW('⚡ COMMAND TRACKER'!$I$5)+1),22),ROW('⚡ COMMAND TRACKER'!$I$5:$I$204)-ROW('⚡ COMMAND TRACKER'!$I$5)+1,0),"")),"")</f>
        <v/>
      </c>
      <c r="J25" s="10" t="str">
        <f aca="false">IFERROR(INDEX('⚡ COMMAND TRACKER'!$AE$5:$AE$204,IFERROR(MATCH(SMALL(IF('⚡ COMMAND TRACKER'!$I$5:$I$204="Booked Meeting",ROW('⚡ COMMAND TRACKER'!$I$5:$I$204)-ROW('⚡ COMMAND TRACKER'!$I$5)+1),22),ROW('⚡ COMMAND TRACKER'!$I$5:$I$204)-ROW('⚡ COMMAND TRACKER'!$I$5)+1,0),"")),"")</f>
        <v/>
      </c>
    </row>
    <row r="26" customFormat="false" ht="19.5" hidden="false" customHeight="true" outlineLevel="0" collapsed="false">
      <c r="A26" s="17" t="str">
        <f aca="false">IFERROR(INDEX('⚡ COMMAND TRACKER'!$A$5:$A$204,IFERROR(MATCH(SMALL(IF('⚡ COMMAND TRACKER'!$I$5:$I$204="Booked Meeting",ROW('⚡ COMMAND TRACKER'!$I$5:$I$204)-ROW('⚡ COMMAND TRACKER'!$I$5)+1),23),ROW('⚡ COMMAND TRACKER'!$I$5:$I$204)-ROW('⚡ COMMAND TRACKER'!$I$5)+1,0),"")),"")</f>
        <v/>
      </c>
      <c r="B26" s="17" t="str">
        <f aca="false">IFERROR(INDEX('⚡ COMMAND TRACKER'!$E$5:$E$204,IFERROR(MATCH(SMALL(IF('⚡ COMMAND TRACKER'!$I$5:$I$204="Booked Meeting",ROW('⚡ COMMAND TRACKER'!$I$5:$I$204)-ROW('⚡ COMMAND TRACKER'!$I$5)+1),23),ROW('⚡ COMMAND TRACKER'!$I$5:$I$204)-ROW('⚡ COMMAND TRACKER'!$I$5)+1,0),"")),"")</f>
        <v/>
      </c>
      <c r="C26" s="27" t="str">
        <f aca="false">IFERROR(INDEX('⚡ COMMAND TRACKER'!$B$5:$B$204,IFERROR(MATCH(SMALL(IF('⚡ COMMAND TRACKER'!$I$5:$I$204="Booked Meeting",ROW('⚡ COMMAND TRACKER'!$I$5:$I$204)-ROW('⚡ COMMAND TRACKER'!$I$5)+1),23),ROW('⚡ COMMAND TRACKER'!$I$5:$I$204)-ROW('⚡ COMMAND TRACKER'!$I$5)+1,0),"")),"")</f>
        <v/>
      </c>
      <c r="D26" s="18" t="str">
        <f aca="false">IFERROR(INDEX('⚡ COMMAND TRACKER'!$H$5:$H$204,IFERROR(MATCH(SMALL(IF('⚡ COMMAND TRACKER'!$I$5:$I$204="Booked Meeting",ROW('⚡ COMMAND TRACKER'!$I$5:$I$204)-ROW('⚡ COMMAND TRACKER'!$I$5)+1),23),ROW('⚡ COMMAND TRACKER'!$I$5:$I$204)-ROW('⚡ COMMAND TRACKER'!$I$5)+1,0),"")),"")</f>
        <v/>
      </c>
      <c r="E26" s="18" t="str">
        <f aca="false">IFERROR(INDEX('⚡ COMMAND TRACKER'!$V$5:$V$204,IFERROR(MATCH(SMALL(IF('⚡ COMMAND TRACKER'!$I$5:$I$204="Booked Meeting",ROW('⚡ COMMAND TRACKER'!$I$5:$I$204)-ROW('⚡ COMMAND TRACKER'!$I$5)+1),23),ROW('⚡ COMMAND TRACKER'!$I$5:$I$204)-ROW('⚡ COMMAND TRACKER'!$I$5)+1,0),"")),"")</f>
        <v/>
      </c>
      <c r="F26" s="28" t="str">
        <f aca="false">IFERROR(INDEX('⚡ COMMAND TRACKER'!$Y$5:$Y$204,IFERROR(MATCH(SMALL(IF('⚡ COMMAND TRACKER'!$I$5:$I$204="Booked Meeting",ROW('⚡ COMMAND TRACKER'!$I$5:$I$204)-ROW('⚡ COMMAND TRACKER'!$I$5)+1),23),ROW('⚡ COMMAND TRACKER'!$I$5:$I$204)-ROW('⚡ COMMAND TRACKER'!$I$5)+1,0),"")),"")</f>
        <v/>
      </c>
      <c r="G26" s="18" t="str">
        <f aca="false">IFERROR(INDEX('⚡ COMMAND TRACKER'!$Z$5:$Z$204,IFERROR(MATCH(SMALL(IF('⚡ COMMAND TRACKER'!$I$5:$I$204="Booked Meeting",ROW('⚡ COMMAND TRACKER'!$I$5:$I$204)-ROW('⚡ COMMAND TRACKER'!$I$5)+1),23),ROW('⚡ COMMAND TRACKER'!$I$5:$I$204)-ROW('⚡ COMMAND TRACKER'!$I$5)+1,0),"")),"")</f>
        <v/>
      </c>
      <c r="H26" s="17" t="str">
        <f aca="false">IFERROR(INDEX('⚡ COMMAND TRACKER'!$M$5:$M$204,IFERROR(MATCH(SMALL(IF('⚡ COMMAND TRACKER'!$I$5:$I$204="Booked Meeting",ROW('⚡ COMMAND TRACKER'!$I$5:$I$204)-ROW('⚡ COMMAND TRACKER'!$I$5)+1),23),ROW('⚡ COMMAND TRACKER'!$I$5:$I$204)-ROW('⚡ COMMAND TRACKER'!$I$5)+1,0),"")),"")</f>
        <v/>
      </c>
      <c r="I26" s="21" t="str">
        <f aca="false">IFERROR(INDEX('⚡ COMMAND TRACKER'!$AC$5:$AC$204,IFERROR(MATCH(SMALL(IF('⚡ COMMAND TRACKER'!$I$5:$I$204="Booked Meeting",ROW('⚡ COMMAND TRACKER'!$I$5:$I$204)-ROW('⚡ COMMAND TRACKER'!$I$5)+1),23),ROW('⚡ COMMAND TRACKER'!$I$5:$I$204)-ROW('⚡ COMMAND TRACKER'!$I$5)+1,0),"")),"")</f>
        <v/>
      </c>
      <c r="J26" s="17" t="str">
        <f aca="false">IFERROR(INDEX('⚡ COMMAND TRACKER'!$AE$5:$AE$204,IFERROR(MATCH(SMALL(IF('⚡ COMMAND TRACKER'!$I$5:$I$204="Booked Meeting",ROW('⚡ COMMAND TRACKER'!$I$5:$I$204)-ROW('⚡ COMMAND TRACKER'!$I$5)+1),23),ROW('⚡ COMMAND TRACKER'!$I$5:$I$204)-ROW('⚡ COMMAND TRACKER'!$I$5)+1,0),"")),"")</f>
        <v/>
      </c>
    </row>
    <row r="27" customFormat="false" ht="19.5" hidden="false" customHeight="true" outlineLevel="0" collapsed="false">
      <c r="A27" s="10" t="str">
        <f aca="false">IFERROR(INDEX('⚡ COMMAND TRACKER'!$A$5:$A$204,IFERROR(MATCH(SMALL(IF('⚡ COMMAND TRACKER'!$I$5:$I$204="Booked Meeting",ROW('⚡ COMMAND TRACKER'!$I$5:$I$204)-ROW('⚡ COMMAND TRACKER'!$I$5)+1),24),ROW('⚡ COMMAND TRACKER'!$I$5:$I$204)-ROW('⚡ COMMAND TRACKER'!$I$5)+1,0),"")),"")</f>
        <v/>
      </c>
      <c r="B27" s="10" t="str">
        <f aca="false">IFERROR(INDEX('⚡ COMMAND TRACKER'!$E$5:$E$204,IFERROR(MATCH(SMALL(IF('⚡ COMMAND TRACKER'!$I$5:$I$204="Booked Meeting",ROW('⚡ COMMAND TRACKER'!$I$5:$I$204)-ROW('⚡ COMMAND TRACKER'!$I$5)+1),24),ROW('⚡ COMMAND TRACKER'!$I$5:$I$204)-ROW('⚡ COMMAND TRACKER'!$I$5)+1,0),"")),"")</f>
        <v/>
      </c>
      <c r="C27" s="30" t="str">
        <f aca="false">IFERROR(INDEX('⚡ COMMAND TRACKER'!$B$5:$B$204,IFERROR(MATCH(SMALL(IF('⚡ COMMAND TRACKER'!$I$5:$I$204="Booked Meeting",ROW('⚡ COMMAND TRACKER'!$I$5:$I$204)-ROW('⚡ COMMAND TRACKER'!$I$5)+1),24),ROW('⚡ COMMAND TRACKER'!$I$5:$I$204)-ROW('⚡ COMMAND TRACKER'!$I$5)+1,0),"")),"")</f>
        <v/>
      </c>
      <c r="D27" s="11" t="str">
        <f aca="false">IFERROR(INDEX('⚡ COMMAND TRACKER'!$H$5:$H$204,IFERROR(MATCH(SMALL(IF('⚡ COMMAND TRACKER'!$I$5:$I$204="Booked Meeting",ROW('⚡ COMMAND TRACKER'!$I$5:$I$204)-ROW('⚡ COMMAND TRACKER'!$I$5)+1),24),ROW('⚡ COMMAND TRACKER'!$I$5:$I$204)-ROW('⚡ COMMAND TRACKER'!$I$5)+1,0),"")),"")</f>
        <v/>
      </c>
      <c r="E27" s="11" t="str">
        <f aca="false">IFERROR(INDEX('⚡ COMMAND TRACKER'!$V$5:$V$204,IFERROR(MATCH(SMALL(IF('⚡ COMMAND TRACKER'!$I$5:$I$204="Booked Meeting",ROW('⚡ COMMAND TRACKER'!$I$5:$I$204)-ROW('⚡ COMMAND TRACKER'!$I$5)+1),24),ROW('⚡ COMMAND TRACKER'!$I$5:$I$204)-ROW('⚡ COMMAND TRACKER'!$I$5)+1,0),"")),"")</f>
        <v/>
      </c>
      <c r="F27" s="31" t="str">
        <f aca="false">IFERROR(INDEX('⚡ COMMAND TRACKER'!$Y$5:$Y$204,IFERROR(MATCH(SMALL(IF('⚡ COMMAND TRACKER'!$I$5:$I$204="Booked Meeting",ROW('⚡ COMMAND TRACKER'!$I$5:$I$204)-ROW('⚡ COMMAND TRACKER'!$I$5)+1),24),ROW('⚡ COMMAND TRACKER'!$I$5:$I$204)-ROW('⚡ COMMAND TRACKER'!$I$5)+1,0),"")),"")</f>
        <v/>
      </c>
      <c r="G27" s="11" t="str">
        <f aca="false">IFERROR(INDEX('⚡ COMMAND TRACKER'!$Z$5:$Z$204,IFERROR(MATCH(SMALL(IF('⚡ COMMAND TRACKER'!$I$5:$I$204="Booked Meeting",ROW('⚡ COMMAND TRACKER'!$I$5:$I$204)-ROW('⚡ COMMAND TRACKER'!$I$5)+1),24),ROW('⚡ COMMAND TRACKER'!$I$5:$I$204)-ROW('⚡ COMMAND TRACKER'!$I$5)+1,0),"")),"")</f>
        <v/>
      </c>
      <c r="H27" s="10" t="str">
        <f aca="false">IFERROR(INDEX('⚡ COMMAND TRACKER'!$M$5:$M$204,IFERROR(MATCH(SMALL(IF('⚡ COMMAND TRACKER'!$I$5:$I$204="Booked Meeting",ROW('⚡ COMMAND TRACKER'!$I$5:$I$204)-ROW('⚡ COMMAND TRACKER'!$I$5)+1),24),ROW('⚡ COMMAND TRACKER'!$I$5:$I$204)-ROW('⚡ COMMAND TRACKER'!$I$5)+1,0),"")),"")</f>
        <v/>
      </c>
      <c r="I27" s="14" t="str">
        <f aca="false">IFERROR(INDEX('⚡ COMMAND TRACKER'!$AC$5:$AC$204,IFERROR(MATCH(SMALL(IF('⚡ COMMAND TRACKER'!$I$5:$I$204="Booked Meeting",ROW('⚡ COMMAND TRACKER'!$I$5:$I$204)-ROW('⚡ COMMAND TRACKER'!$I$5)+1),24),ROW('⚡ COMMAND TRACKER'!$I$5:$I$204)-ROW('⚡ COMMAND TRACKER'!$I$5)+1,0),"")),"")</f>
        <v/>
      </c>
      <c r="J27" s="10" t="str">
        <f aca="false">IFERROR(INDEX('⚡ COMMAND TRACKER'!$AE$5:$AE$204,IFERROR(MATCH(SMALL(IF('⚡ COMMAND TRACKER'!$I$5:$I$204="Booked Meeting",ROW('⚡ COMMAND TRACKER'!$I$5:$I$204)-ROW('⚡ COMMAND TRACKER'!$I$5)+1),24),ROW('⚡ COMMAND TRACKER'!$I$5:$I$204)-ROW('⚡ COMMAND TRACKER'!$I$5)+1,0),"")),"")</f>
        <v/>
      </c>
    </row>
    <row r="28" customFormat="false" ht="19.5" hidden="false" customHeight="true" outlineLevel="0" collapsed="false">
      <c r="A28" s="17" t="str">
        <f aca="false">IFERROR(INDEX('⚡ COMMAND TRACKER'!$A$5:$A$204,IFERROR(MATCH(SMALL(IF('⚡ COMMAND TRACKER'!$I$5:$I$204="Booked Meeting",ROW('⚡ COMMAND TRACKER'!$I$5:$I$204)-ROW('⚡ COMMAND TRACKER'!$I$5)+1),25),ROW('⚡ COMMAND TRACKER'!$I$5:$I$204)-ROW('⚡ COMMAND TRACKER'!$I$5)+1,0),"")),"")</f>
        <v/>
      </c>
      <c r="B28" s="17" t="str">
        <f aca="false">IFERROR(INDEX('⚡ COMMAND TRACKER'!$E$5:$E$204,IFERROR(MATCH(SMALL(IF('⚡ COMMAND TRACKER'!$I$5:$I$204="Booked Meeting",ROW('⚡ COMMAND TRACKER'!$I$5:$I$204)-ROW('⚡ COMMAND TRACKER'!$I$5)+1),25),ROW('⚡ COMMAND TRACKER'!$I$5:$I$204)-ROW('⚡ COMMAND TRACKER'!$I$5)+1,0),"")),"")</f>
        <v/>
      </c>
      <c r="C28" s="27" t="str">
        <f aca="false">IFERROR(INDEX('⚡ COMMAND TRACKER'!$B$5:$B$204,IFERROR(MATCH(SMALL(IF('⚡ COMMAND TRACKER'!$I$5:$I$204="Booked Meeting",ROW('⚡ COMMAND TRACKER'!$I$5:$I$204)-ROW('⚡ COMMAND TRACKER'!$I$5)+1),25),ROW('⚡ COMMAND TRACKER'!$I$5:$I$204)-ROW('⚡ COMMAND TRACKER'!$I$5)+1,0),"")),"")</f>
        <v/>
      </c>
      <c r="D28" s="18" t="str">
        <f aca="false">IFERROR(INDEX('⚡ COMMAND TRACKER'!$H$5:$H$204,IFERROR(MATCH(SMALL(IF('⚡ COMMAND TRACKER'!$I$5:$I$204="Booked Meeting",ROW('⚡ COMMAND TRACKER'!$I$5:$I$204)-ROW('⚡ COMMAND TRACKER'!$I$5)+1),25),ROW('⚡ COMMAND TRACKER'!$I$5:$I$204)-ROW('⚡ COMMAND TRACKER'!$I$5)+1,0),"")),"")</f>
        <v/>
      </c>
      <c r="E28" s="18" t="str">
        <f aca="false">IFERROR(INDEX('⚡ COMMAND TRACKER'!$V$5:$V$204,IFERROR(MATCH(SMALL(IF('⚡ COMMAND TRACKER'!$I$5:$I$204="Booked Meeting",ROW('⚡ COMMAND TRACKER'!$I$5:$I$204)-ROW('⚡ COMMAND TRACKER'!$I$5)+1),25),ROW('⚡ COMMAND TRACKER'!$I$5:$I$204)-ROW('⚡ COMMAND TRACKER'!$I$5)+1,0),"")),"")</f>
        <v/>
      </c>
      <c r="F28" s="28" t="str">
        <f aca="false">IFERROR(INDEX('⚡ COMMAND TRACKER'!$Y$5:$Y$204,IFERROR(MATCH(SMALL(IF('⚡ COMMAND TRACKER'!$I$5:$I$204="Booked Meeting",ROW('⚡ COMMAND TRACKER'!$I$5:$I$204)-ROW('⚡ COMMAND TRACKER'!$I$5)+1),25),ROW('⚡ COMMAND TRACKER'!$I$5:$I$204)-ROW('⚡ COMMAND TRACKER'!$I$5)+1,0),"")),"")</f>
        <v/>
      </c>
      <c r="G28" s="18" t="str">
        <f aca="false">IFERROR(INDEX('⚡ COMMAND TRACKER'!$Z$5:$Z$204,IFERROR(MATCH(SMALL(IF('⚡ COMMAND TRACKER'!$I$5:$I$204="Booked Meeting",ROW('⚡ COMMAND TRACKER'!$I$5:$I$204)-ROW('⚡ COMMAND TRACKER'!$I$5)+1),25),ROW('⚡ COMMAND TRACKER'!$I$5:$I$204)-ROW('⚡ COMMAND TRACKER'!$I$5)+1,0),"")),"")</f>
        <v/>
      </c>
      <c r="H28" s="17" t="str">
        <f aca="false">IFERROR(INDEX('⚡ COMMAND TRACKER'!$M$5:$M$204,IFERROR(MATCH(SMALL(IF('⚡ COMMAND TRACKER'!$I$5:$I$204="Booked Meeting",ROW('⚡ COMMAND TRACKER'!$I$5:$I$204)-ROW('⚡ COMMAND TRACKER'!$I$5)+1),25),ROW('⚡ COMMAND TRACKER'!$I$5:$I$204)-ROW('⚡ COMMAND TRACKER'!$I$5)+1,0),"")),"")</f>
        <v/>
      </c>
      <c r="I28" s="21" t="str">
        <f aca="false">IFERROR(INDEX('⚡ COMMAND TRACKER'!$AC$5:$AC$204,IFERROR(MATCH(SMALL(IF('⚡ COMMAND TRACKER'!$I$5:$I$204="Booked Meeting",ROW('⚡ COMMAND TRACKER'!$I$5:$I$204)-ROW('⚡ COMMAND TRACKER'!$I$5)+1),25),ROW('⚡ COMMAND TRACKER'!$I$5:$I$204)-ROW('⚡ COMMAND TRACKER'!$I$5)+1,0),"")),"")</f>
        <v/>
      </c>
      <c r="J28" s="17" t="str">
        <f aca="false">IFERROR(INDEX('⚡ COMMAND TRACKER'!$AE$5:$AE$204,IFERROR(MATCH(SMALL(IF('⚡ COMMAND TRACKER'!$I$5:$I$204="Booked Meeting",ROW('⚡ COMMAND TRACKER'!$I$5:$I$204)-ROW('⚡ COMMAND TRACKER'!$I$5)+1),25),ROW('⚡ COMMAND TRACKER'!$I$5:$I$204)-ROW('⚡ COMMAND TRACKER'!$I$5)+1,0),"")),"")</f>
        <v/>
      </c>
    </row>
    <row r="29" customFormat="false" ht="19.5" hidden="false" customHeight="true" outlineLevel="0" collapsed="false">
      <c r="A29" s="10" t="str">
        <f aca="false">IFERROR(INDEX('⚡ COMMAND TRACKER'!$A$5:$A$204,IFERROR(MATCH(SMALL(IF('⚡ COMMAND TRACKER'!$I$5:$I$204="Booked Meeting",ROW('⚡ COMMAND TRACKER'!$I$5:$I$204)-ROW('⚡ COMMAND TRACKER'!$I$5)+1),26),ROW('⚡ COMMAND TRACKER'!$I$5:$I$204)-ROW('⚡ COMMAND TRACKER'!$I$5)+1,0),"")),"")</f>
        <v/>
      </c>
      <c r="B29" s="10" t="str">
        <f aca="false">IFERROR(INDEX('⚡ COMMAND TRACKER'!$E$5:$E$204,IFERROR(MATCH(SMALL(IF('⚡ COMMAND TRACKER'!$I$5:$I$204="Booked Meeting",ROW('⚡ COMMAND TRACKER'!$I$5:$I$204)-ROW('⚡ COMMAND TRACKER'!$I$5)+1),26),ROW('⚡ COMMAND TRACKER'!$I$5:$I$204)-ROW('⚡ COMMAND TRACKER'!$I$5)+1,0),"")),"")</f>
        <v/>
      </c>
      <c r="C29" s="30" t="str">
        <f aca="false">IFERROR(INDEX('⚡ COMMAND TRACKER'!$B$5:$B$204,IFERROR(MATCH(SMALL(IF('⚡ COMMAND TRACKER'!$I$5:$I$204="Booked Meeting",ROW('⚡ COMMAND TRACKER'!$I$5:$I$204)-ROW('⚡ COMMAND TRACKER'!$I$5)+1),26),ROW('⚡ COMMAND TRACKER'!$I$5:$I$204)-ROW('⚡ COMMAND TRACKER'!$I$5)+1,0),"")),"")</f>
        <v/>
      </c>
      <c r="D29" s="11" t="str">
        <f aca="false">IFERROR(INDEX('⚡ COMMAND TRACKER'!$H$5:$H$204,IFERROR(MATCH(SMALL(IF('⚡ COMMAND TRACKER'!$I$5:$I$204="Booked Meeting",ROW('⚡ COMMAND TRACKER'!$I$5:$I$204)-ROW('⚡ COMMAND TRACKER'!$I$5)+1),26),ROW('⚡ COMMAND TRACKER'!$I$5:$I$204)-ROW('⚡ COMMAND TRACKER'!$I$5)+1,0),"")),"")</f>
        <v/>
      </c>
      <c r="E29" s="11" t="str">
        <f aca="false">IFERROR(INDEX('⚡ COMMAND TRACKER'!$V$5:$V$204,IFERROR(MATCH(SMALL(IF('⚡ COMMAND TRACKER'!$I$5:$I$204="Booked Meeting",ROW('⚡ COMMAND TRACKER'!$I$5:$I$204)-ROW('⚡ COMMAND TRACKER'!$I$5)+1),26),ROW('⚡ COMMAND TRACKER'!$I$5:$I$204)-ROW('⚡ COMMAND TRACKER'!$I$5)+1,0),"")),"")</f>
        <v/>
      </c>
      <c r="F29" s="31" t="str">
        <f aca="false">IFERROR(INDEX('⚡ COMMAND TRACKER'!$Y$5:$Y$204,IFERROR(MATCH(SMALL(IF('⚡ COMMAND TRACKER'!$I$5:$I$204="Booked Meeting",ROW('⚡ COMMAND TRACKER'!$I$5:$I$204)-ROW('⚡ COMMAND TRACKER'!$I$5)+1),26),ROW('⚡ COMMAND TRACKER'!$I$5:$I$204)-ROW('⚡ COMMAND TRACKER'!$I$5)+1,0),"")),"")</f>
        <v/>
      </c>
      <c r="G29" s="11" t="str">
        <f aca="false">IFERROR(INDEX('⚡ COMMAND TRACKER'!$Z$5:$Z$204,IFERROR(MATCH(SMALL(IF('⚡ COMMAND TRACKER'!$I$5:$I$204="Booked Meeting",ROW('⚡ COMMAND TRACKER'!$I$5:$I$204)-ROW('⚡ COMMAND TRACKER'!$I$5)+1),26),ROW('⚡ COMMAND TRACKER'!$I$5:$I$204)-ROW('⚡ COMMAND TRACKER'!$I$5)+1,0),"")),"")</f>
        <v/>
      </c>
      <c r="H29" s="10" t="str">
        <f aca="false">IFERROR(INDEX('⚡ COMMAND TRACKER'!$M$5:$M$204,IFERROR(MATCH(SMALL(IF('⚡ COMMAND TRACKER'!$I$5:$I$204="Booked Meeting",ROW('⚡ COMMAND TRACKER'!$I$5:$I$204)-ROW('⚡ COMMAND TRACKER'!$I$5)+1),26),ROW('⚡ COMMAND TRACKER'!$I$5:$I$204)-ROW('⚡ COMMAND TRACKER'!$I$5)+1,0),"")),"")</f>
        <v/>
      </c>
      <c r="I29" s="14" t="str">
        <f aca="false">IFERROR(INDEX('⚡ COMMAND TRACKER'!$AC$5:$AC$204,IFERROR(MATCH(SMALL(IF('⚡ COMMAND TRACKER'!$I$5:$I$204="Booked Meeting",ROW('⚡ COMMAND TRACKER'!$I$5:$I$204)-ROW('⚡ COMMAND TRACKER'!$I$5)+1),26),ROW('⚡ COMMAND TRACKER'!$I$5:$I$204)-ROW('⚡ COMMAND TRACKER'!$I$5)+1,0),"")),"")</f>
        <v/>
      </c>
      <c r="J29" s="10" t="str">
        <f aca="false">IFERROR(INDEX('⚡ COMMAND TRACKER'!$AE$5:$AE$204,IFERROR(MATCH(SMALL(IF('⚡ COMMAND TRACKER'!$I$5:$I$204="Booked Meeting",ROW('⚡ COMMAND TRACKER'!$I$5:$I$204)-ROW('⚡ COMMAND TRACKER'!$I$5)+1),26),ROW('⚡ COMMAND TRACKER'!$I$5:$I$204)-ROW('⚡ COMMAND TRACKER'!$I$5)+1,0),"")),"")</f>
        <v/>
      </c>
    </row>
    <row r="30" customFormat="false" ht="19.5" hidden="false" customHeight="true" outlineLevel="0" collapsed="false">
      <c r="A30" s="17" t="str">
        <f aca="false">IFERROR(INDEX('⚡ COMMAND TRACKER'!$A$5:$A$204,IFERROR(MATCH(SMALL(IF('⚡ COMMAND TRACKER'!$I$5:$I$204="Booked Meeting",ROW('⚡ COMMAND TRACKER'!$I$5:$I$204)-ROW('⚡ COMMAND TRACKER'!$I$5)+1),27),ROW('⚡ COMMAND TRACKER'!$I$5:$I$204)-ROW('⚡ COMMAND TRACKER'!$I$5)+1,0),"")),"")</f>
        <v/>
      </c>
      <c r="B30" s="17" t="str">
        <f aca="false">IFERROR(INDEX('⚡ COMMAND TRACKER'!$E$5:$E$204,IFERROR(MATCH(SMALL(IF('⚡ COMMAND TRACKER'!$I$5:$I$204="Booked Meeting",ROW('⚡ COMMAND TRACKER'!$I$5:$I$204)-ROW('⚡ COMMAND TRACKER'!$I$5)+1),27),ROW('⚡ COMMAND TRACKER'!$I$5:$I$204)-ROW('⚡ COMMAND TRACKER'!$I$5)+1,0),"")),"")</f>
        <v/>
      </c>
      <c r="C30" s="27" t="str">
        <f aca="false">IFERROR(INDEX('⚡ COMMAND TRACKER'!$B$5:$B$204,IFERROR(MATCH(SMALL(IF('⚡ COMMAND TRACKER'!$I$5:$I$204="Booked Meeting",ROW('⚡ COMMAND TRACKER'!$I$5:$I$204)-ROW('⚡ COMMAND TRACKER'!$I$5)+1),27),ROW('⚡ COMMAND TRACKER'!$I$5:$I$204)-ROW('⚡ COMMAND TRACKER'!$I$5)+1,0),"")),"")</f>
        <v/>
      </c>
      <c r="D30" s="18" t="str">
        <f aca="false">IFERROR(INDEX('⚡ COMMAND TRACKER'!$H$5:$H$204,IFERROR(MATCH(SMALL(IF('⚡ COMMAND TRACKER'!$I$5:$I$204="Booked Meeting",ROW('⚡ COMMAND TRACKER'!$I$5:$I$204)-ROW('⚡ COMMAND TRACKER'!$I$5)+1),27),ROW('⚡ COMMAND TRACKER'!$I$5:$I$204)-ROW('⚡ COMMAND TRACKER'!$I$5)+1,0),"")),"")</f>
        <v/>
      </c>
      <c r="E30" s="18" t="str">
        <f aca="false">IFERROR(INDEX('⚡ COMMAND TRACKER'!$V$5:$V$204,IFERROR(MATCH(SMALL(IF('⚡ COMMAND TRACKER'!$I$5:$I$204="Booked Meeting",ROW('⚡ COMMAND TRACKER'!$I$5:$I$204)-ROW('⚡ COMMAND TRACKER'!$I$5)+1),27),ROW('⚡ COMMAND TRACKER'!$I$5:$I$204)-ROW('⚡ COMMAND TRACKER'!$I$5)+1,0),"")),"")</f>
        <v/>
      </c>
      <c r="F30" s="28" t="str">
        <f aca="false">IFERROR(INDEX('⚡ COMMAND TRACKER'!$Y$5:$Y$204,IFERROR(MATCH(SMALL(IF('⚡ COMMAND TRACKER'!$I$5:$I$204="Booked Meeting",ROW('⚡ COMMAND TRACKER'!$I$5:$I$204)-ROW('⚡ COMMAND TRACKER'!$I$5)+1),27),ROW('⚡ COMMAND TRACKER'!$I$5:$I$204)-ROW('⚡ COMMAND TRACKER'!$I$5)+1,0),"")),"")</f>
        <v/>
      </c>
      <c r="G30" s="18" t="str">
        <f aca="false">IFERROR(INDEX('⚡ COMMAND TRACKER'!$Z$5:$Z$204,IFERROR(MATCH(SMALL(IF('⚡ COMMAND TRACKER'!$I$5:$I$204="Booked Meeting",ROW('⚡ COMMAND TRACKER'!$I$5:$I$204)-ROW('⚡ COMMAND TRACKER'!$I$5)+1),27),ROW('⚡ COMMAND TRACKER'!$I$5:$I$204)-ROW('⚡ COMMAND TRACKER'!$I$5)+1,0),"")),"")</f>
        <v/>
      </c>
      <c r="H30" s="17" t="str">
        <f aca="false">IFERROR(INDEX('⚡ COMMAND TRACKER'!$M$5:$M$204,IFERROR(MATCH(SMALL(IF('⚡ COMMAND TRACKER'!$I$5:$I$204="Booked Meeting",ROW('⚡ COMMAND TRACKER'!$I$5:$I$204)-ROW('⚡ COMMAND TRACKER'!$I$5)+1),27),ROW('⚡ COMMAND TRACKER'!$I$5:$I$204)-ROW('⚡ COMMAND TRACKER'!$I$5)+1,0),"")),"")</f>
        <v/>
      </c>
      <c r="I30" s="21" t="str">
        <f aca="false">IFERROR(INDEX('⚡ COMMAND TRACKER'!$AC$5:$AC$204,IFERROR(MATCH(SMALL(IF('⚡ COMMAND TRACKER'!$I$5:$I$204="Booked Meeting",ROW('⚡ COMMAND TRACKER'!$I$5:$I$204)-ROW('⚡ COMMAND TRACKER'!$I$5)+1),27),ROW('⚡ COMMAND TRACKER'!$I$5:$I$204)-ROW('⚡ COMMAND TRACKER'!$I$5)+1,0),"")),"")</f>
        <v/>
      </c>
      <c r="J30" s="17" t="str">
        <f aca="false">IFERROR(INDEX('⚡ COMMAND TRACKER'!$AE$5:$AE$204,IFERROR(MATCH(SMALL(IF('⚡ COMMAND TRACKER'!$I$5:$I$204="Booked Meeting",ROW('⚡ COMMAND TRACKER'!$I$5:$I$204)-ROW('⚡ COMMAND TRACKER'!$I$5)+1),27),ROW('⚡ COMMAND TRACKER'!$I$5:$I$204)-ROW('⚡ COMMAND TRACKER'!$I$5)+1,0),"")),"")</f>
        <v/>
      </c>
    </row>
    <row r="31" customFormat="false" ht="19.5" hidden="false" customHeight="true" outlineLevel="0" collapsed="false">
      <c r="A31" s="10" t="str">
        <f aca="false">IFERROR(INDEX('⚡ COMMAND TRACKER'!$A$5:$A$204,IFERROR(MATCH(SMALL(IF('⚡ COMMAND TRACKER'!$I$5:$I$204="Booked Meeting",ROW('⚡ COMMAND TRACKER'!$I$5:$I$204)-ROW('⚡ COMMAND TRACKER'!$I$5)+1),28),ROW('⚡ COMMAND TRACKER'!$I$5:$I$204)-ROW('⚡ COMMAND TRACKER'!$I$5)+1,0),"")),"")</f>
        <v/>
      </c>
      <c r="B31" s="10" t="str">
        <f aca="false">IFERROR(INDEX('⚡ COMMAND TRACKER'!$E$5:$E$204,IFERROR(MATCH(SMALL(IF('⚡ COMMAND TRACKER'!$I$5:$I$204="Booked Meeting",ROW('⚡ COMMAND TRACKER'!$I$5:$I$204)-ROW('⚡ COMMAND TRACKER'!$I$5)+1),28),ROW('⚡ COMMAND TRACKER'!$I$5:$I$204)-ROW('⚡ COMMAND TRACKER'!$I$5)+1,0),"")),"")</f>
        <v/>
      </c>
      <c r="C31" s="30" t="str">
        <f aca="false">IFERROR(INDEX('⚡ COMMAND TRACKER'!$B$5:$B$204,IFERROR(MATCH(SMALL(IF('⚡ COMMAND TRACKER'!$I$5:$I$204="Booked Meeting",ROW('⚡ COMMAND TRACKER'!$I$5:$I$204)-ROW('⚡ COMMAND TRACKER'!$I$5)+1),28),ROW('⚡ COMMAND TRACKER'!$I$5:$I$204)-ROW('⚡ COMMAND TRACKER'!$I$5)+1,0),"")),"")</f>
        <v/>
      </c>
      <c r="D31" s="11" t="str">
        <f aca="false">IFERROR(INDEX('⚡ COMMAND TRACKER'!$H$5:$H$204,IFERROR(MATCH(SMALL(IF('⚡ COMMAND TRACKER'!$I$5:$I$204="Booked Meeting",ROW('⚡ COMMAND TRACKER'!$I$5:$I$204)-ROW('⚡ COMMAND TRACKER'!$I$5)+1),28),ROW('⚡ COMMAND TRACKER'!$I$5:$I$204)-ROW('⚡ COMMAND TRACKER'!$I$5)+1,0),"")),"")</f>
        <v/>
      </c>
      <c r="E31" s="11" t="str">
        <f aca="false">IFERROR(INDEX('⚡ COMMAND TRACKER'!$V$5:$V$204,IFERROR(MATCH(SMALL(IF('⚡ COMMAND TRACKER'!$I$5:$I$204="Booked Meeting",ROW('⚡ COMMAND TRACKER'!$I$5:$I$204)-ROW('⚡ COMMAND TRACKER'!$I$5)+1),28),ROW('⚡ COMMAND TRACKER'!$I$5:$I$204)-ROW('⚡ COMMAND TRACKER'!$I$5)+1,0),"")),"")</f>
        <v/>
      </c>
      <c r="F31" s="31" t="str">
        <f aca="false">IFERROR(INDEX('⚡ COMMAND TRACKER'!$Y$5:$Y$204,IFERROR(MATCH(SMALL(IF('⚡ COMMAND TRACKER'!$I$5:$I$204="Booked Meeting",ROW('⚡ COMMAND TRACKER'!$I$5:$I$204)-ROW('⚡ COMMAND TRACKER'!$I$5)+1),28),ROW('⚡ COMMAND TRACKER'!$I$5:$I$204)-ROW('⚡ COMMAND TRACKER'!$I$5)+1,0),"")),"")</f>
        <v/>
      </c>
      <c r="G31" s="11" t="str">
        <f aca="false">IFERROR(INDEX('⚡ COMMAND TRACKER'!$Z$5:$Z$204,IFERROR(MATCH(SMALL(IF('⚡ COMMAND TRACKER'!$I$5:$I$204="Booked Meeting",ROW('⚡ COMMAND TRACKER'!$I$5:$I$204)-ROW('⚡ COMMAND TRACKER'!$I$5)+1),28),ROW('⚡ COMMAND TRACKER'!$I$5:$I$204)-ROW('⚡ COMMAND TRACKER'!$I$5)+1,0),"")),"")</f>
        <v/>
      </c>
      <c r="H31" s="10" t="str">
        <f aca="false">IFERROR(INDEX('⚡ COMMAND TRACKER'!$M$5:$M$204,IFERROR(MATCH(SMALL(IF('⚡ COMMAND TRACKER'!$I$5:$I$204="Booked Meeting",ROW('⚡ COMMAND TRACKER'!$I$5:$I$204)-ROW('⚡ COMMAND TRACKER'!$I$5)+1),28),ROW('⚡ COMMAND TRACKER'!$I$5:$I$204)-ROW('⚡ COMMAND TRACKER'!$I$5)+1,0),"")),"")</f>
        <v/>
      </c>
      <c r="I31" s="14" t="str">
        <f aca="false">IFERROR(INDEX('⚡ COMMAND TRACKER'!$AC$5:$AC$204,IFERROR(MATCH(SMALL(IF('⚡ COMMAND TRACKER'!$I$5:$I$204="Booked Meeting",ROW('⚡ COMMAND TRACKER'!$I$5:$I$204)-ROW('⚡ COMMAND TRACKER'!$I$5)+1),28),ROW('⚡ COMMAND TRACKER'!$I$5:$I$204)-ROW('⚡ COMMAND TRACKER'!$I$5)+1,0),"")),"")</f>
        <v/>
      </c>
      <c r="J31" s="10" t="str">
        <f aca="false">IFERROR(INDEX('⚡ COMMAND TRACKER'!$AE$5:$AE$204,IFERROR(MATCH(SMALL(IF('⚡ COMMAND TRACKER'!$I$5:$I$204="Booked Meeting",ROW('⚡ COMMAND TRACKER'!$I$5:$I$204)-ROW('⚡ COMMAND TRACKER'!$I$5)+1),28),ROW('⚡ COMMAND TRACKER'!$I$5:$I$204)-ROW('⚡ COMMAND TRACKER'!$I$5)+1,0),"")),"")</f>
        <v/>
      </c>
    </row>
    <row r="32" customFormat="false" ht="19.5" hidden="false" customHeight="true" outlineLevel="0" collapsed="false">
      <c r="A32" s="17" t="str">
        <f aca="false">IFERROR(INDEX('⚡ COMMAND TRACKER'!$A$5:$A$204,IFERROR(MATCH(SMALL(IF('⚡ COMMAND TRACKER'!$I$5:$I$204="Booked Meeting",ROW('⚡ COMMAND TRACKER'!$I$5:$I$204)-ROW('⚡ COMMAND TRACKER'!$I$5)+1),29),ROW('⚡ COMMAND TRACKER'!$I$5:$I$204)-ROW('⚡ COMMAND TRACKER'!$I$5)+1,0),"")),"")</f>
        <v/>
      </c>
      <c r="B32" s="17" t="str">
        <f aca="false">IFERROR(INDEX('⚡ COMMAND TRACKER'!$E$5:$E$204,IFERROR(MATCH(SMALL(IF('⚡ COMMAND TRACKER'!$I$5:$I$204="Booked Meeting",ROW('⚡ COMMAND TRACKER'!$I$5:$I$204)-ROW('⚡ COMMAND TRACKER'!$I$5)+1),29),ROW('⚡ COMMAND TRACKER'!$I$5:$I$204)-ROW('⚡ COMMAND TRACKER'!$I$5)+1,0),"")),"")</f>
        <v/>
      </c>
      <c r="C32" s="27" t="str">
        <f aca="false">IFERROR(INDEX('⚡ COMMAND TRACKER'!$B$5:$B$204,IFERROR(MATCH(SMALL(IF('⚡ COMMAND TRACKER'!$I$5:$I$204="Booked Meeting",ROW('⚡ COMMAND TRACKER'!$I$5:$I$204)-ROW('⚡ COMMAND TRACKER'!$I$5)+1),29),ROW('⚡ COMMAND TRACKER'!$I$5:$I$204)-ROW('⚡ COMMAND TRACKER'!$I$5)+1,0),"")),"")</f>
        <v/>
      </c>
      <c r="D32" s="18" t="str">
        <f aca="false">IFERROR(INDEX('⚡ COMMAND TRACKER'!$H$5:$H$204,IFERROR(MATCH(SMALL(IF('⚡ COMMAND TRACKER'!$I$5:$I$204="Booked Meeting",ROW('⚡ COMMAND TRACKER'!$I$5:$I$204)-ROW('⚡ COMMAND TRACKER'!$I$5)+1),29),ROW('⚡ COMMAND TRACKER'!$I$5:$I$204)-ROW('⚡ COMMAND TRACKER'!$I$5)+1,0),"")),"")</f>
        <v/>
      </c>
      <c r="E32" s="18" t="str">
        <f aca="false">IFERROR(INDEX('⚡ COMMAND TRACKER'!$V$5:$V$204,IFERROR(MATCH(SMALL(IF('⚡ COMMAND TRACKER'!$I$5:$I$204="Booked Meeting",ROW('⚡ COMMAND TRACKER'!$I$5:$I$204)-ROW('⚡ COMMAND TRACKER'!$I$5)+1),29),ROW('⚡ COMMAND TRACKER'!$I$5:$I$204)-ROW('⚡ COMMAND TRACKER'!$I$5)+1,0),"")),"")</f>
        <v/>
      </c>
      <c r="F32" s="28" t="str">
        <f aca="false">IFERROR(INDEX('⚡ COMMAND TRACKER'!$Y$5:$Y$204,IFERROR(MATCH(SMALL(IF('⚡ COMMAND TRACKER'!$I$5:$I$204="Booked Meeting",ROW('⚡ COMMAND TRACKER'!$I$5:$I$204)-ROW('⚡ COMMAND TRACKER'!$I$5)+1),29),ROW('⚡ COMMAND TRACKER'!$I$5:$I$204)-ROW('⚡ COMMAND TRACKER'!$I$5)+1,0),"")),"")</f>
        <v/>
      </c>
      <c r="G32" s="18" t="str">
        <f aca="false">IFERROR(INDEX('⚡ COMMAND TRACKER'!$Z$5:$Z$204,IFERROR(MATCH(SMALL(IF('⚡ COMMAND TRACKER'!$I$5:$I$204="Booked Meeting",ROW('⚡ COMMAND TRACKER'!$I$5:$I$204)-ROW('⚡ COMMAND TRACKER'!$I$5)+1),29),ROW('⚡ COMMAND TRACKER'!$I$5:$I$204)-ROW('⚡ COMMAND TRACKER'!$I$5)+1,0),"")),"")</f>
        <v/>
      </c>
      <c r="H32" s="17" t="str">
        <f aca="false">IFERROR(INDEX('⚡ COMMAND TRACKER'!$M$5:$M$204,IFERROR(MATCH(SMALL(IF('⚡ COMMAND TRACKER'!$I$5:$I$204="Booked Meeting",ROW('⚡ COMMAND TRACKER'!$I$5:$I$204)-ROW('⚡ COMMAND TRACKER'!$I$5)+1),29),ROW('⚡ COMMAND TRACKER'!$I$5:$I$204)-ROW('⚡ COMMAND TRACKER'!$I$5)+1,0),"")),"")</f>
        <v/>
      </c>
      <c r="I32" s="21" t="str">
        <f aca="false">IFERROR(INDEX('⚡ COMMAND TRACKER'!$AC$5:$AC$204,IFERROR(MATCH(SMALL(IF('⚡ COMMAND TRACKER'!$I$5:$I$204="Booked Meeting",ROW('⚡ COMMAND TRACKER'!$I$5:$I$204)-ROW('⚡ COMMAND TRACKER'!$I$5)+1),29),ROW('⚡ COMMAND TRACKER'!$I$5:$I$204)-ROW('⚡ COMMAND TRACKER'!$I$5)+1,0),"")),"")</f>
        <v/>
      </c>
      <c r="J32" s="17" t="str">
        <f aca="false">IFERROR(INDEX('⚡ COMMAND TRACKER'!$AE$5:$AE$204,IFERROR(MATCH(SMALL(IF('⚡ COMMAND TRACKER'!$I$5:$I$204="Booked Meeting",ROW('⚡ COMMAND TRACKER'!$I$5:$I$204)-ROW('⚡ COMMAND TRACKER'!$I$5)+1),29),ROW('⚡ COMMAND TRACKER'!$I$5:$I$204)-ROW('⚡ COMMAND TRACKER'!$I$5)+1,0),"")),"")</f>
        <v/>
      </c>
    </row>
    <row r="33" customFormat="false" ht="19.5" hidden="false" customHeight="true" outlineLevel="0" collapsed="false">
      <c r="A33" s="10" t="str">
        <f aca="false">IFERROR(INDEX('⚡ COMMAND TRACKER'!$A$5:$A$204,IFERROR(MATCH(SMALL(IF('⚡ COMMAND TRACKER'!$I$5:$I$204="Booked Meeting",ROW('⚡ COMMAND TRACKER'!$I$5:$I$204)-ROW('⚡ COMMAND TRACKER'!$I$5)+1),30),ROW('⚡ COMMAND TRACKER'!$I$5:$I$204)-ROW('⚡ COMMAND TRACKER'!$I$5)+1,0),"")),"")</f>
        <v/>
      </c>
      <c r="B33" s="10" t="str">
        <f aca="false">IFERROR(INDEX('⚡ COMMAND TRACKER'!$E$5:$E$204,IFERROR(MATCH(SMALL(IF('⚡ COMMAND TRACKER'!$I$5:$I$204="Booked Meeting",ROW('⚡ COMMAND TRACKER'!$I$5:$I$204)-ROW('⚡ COMMAND TRACKER'!$I$5)+1),30),ROW('⚡ COMMAND TRACKER'!$I$5:$I$204)-ROW('⚡ COMMAND TRACKER'!$I$5)+1,0),"")),"")</f>
        <v/>
      </c>
      <c r="C33" s="30" t="str">
        <f aca="false">IFERROR(INDEX('⚡ COMMAND TRACKER'!$B$5:$B$204,IFERROR(MATCH(SMALL(IF('⚡ COMMAND TRACKER'!$I$5:$I$204="Booked Meeting",ROW('⚡ COMMAND TRACKER'!$I$5:$I$204)-ROW('⚡ COMMAND TRACKER'!$I$5)+1),30),ROW('⚡ COMMAND TRACKER'!$I$5:$I$204)-ROW('⚡ COMMAND TRACKER'!$I$5)+1,0),"")),"")</f>
        <v/>
      </c>
      <c r="D33" s="11" t="str">
        <f aca="false">IFERROR(INDEX('⚡ COMMAND TRACKER'!$H$5:$H$204,IFERROR(MATCH(SMALL(IF('⚡ COMMAND TRACKER'!$I$5:$I$204="Booked Meeting",ROW('⚡ COMMAND TRACKER'!$I$5:$I$204)-ROW('⚡ COMMAND TRACKER'!$I$5)+1),30),ROW('⚡ COMMAND TRACKER'!$I$5:$I$204)-ROW('⚡ COMMAND TRACKER'!$I$5)+1,0),"")),"")</f>
        <v/>
      </c>
      <c r="E33" s="11" t="str">
        <f aca="false">IFERROR(INDEX('⚡ COMMAND TRACKER'!$V$5:$V$204,IFERROR(MATCH(SMALL(IF('⚡ COMMAND TRACKER'!$I$5:$I$204="Booked Meeting",ROW('⚡ COMMAND TRACKER'!$I$5:$I$204)-ROW('⚡ COMMAND TRACKER'!$I$5)+1),30),ROW('⚡ COMMAND TRACKER'!$I$5:$I$204)-ROW('⚡ COMMAND TRACKER'!$I$5)+1,0),"")),"")</f>
        <v/>
      </c>
      <c r="F33" s="31" t="str">
        <f aca="false">IFERROR(INDEX('⚡ COMMAND TRACKER'!$Y$5:$Y$204,IFERROR(MATCH(SMALL(IF('⚡ COMMAND TRACKER'!$I$5:$I$204="Booked Meeting",ROW('⚡ COMMAND TRACKER'!$I$5:$I$204)-ROW('⚡ COMMAND TRACKER'!$I$5)+1),30),ROW('⚡ COMMAND TRACKER'!$I$5:$I$204)-ROW('⚡ COMMAND TRACKER'!$I$5)+1,0),"")),"")</f>
        <v/>
      </c>
      <c r="G33" s="11" t="str">
        <f aca="false">IFERROR(INDEX('⚡ COMMAND TRACKER'!$Z$5:$Z$204,IFERROR(MATCH(SMALL(IF('⚡ COMMAND TRACKER'!$I$5:$I$204="Booked Meeting",ROW('⚡ COMMAND TRACKER'!$I$5:$I$204)-ROW('⚡ COMMAND TRACKER'!$I$5)+1),30),ROW('⚡ COMMAND TRACKER'!$I$5:$I$204)-ROW('⚡ COMMAND TRACKER'!$I$5)+1,0),"")),"")</f>
        <v/>
      </c>
      <c r="H33" s="10" t="str">
        <f aca="false">IFERROR(INDEX('⚡ COMMAND TRACKER'!$M$5:$M$204,IFERROR(MATCH(SMALL(IF('⚡ COMMAND TRACKER'!$I$5:$I$204="Booked Meeting",ROW('⚡ COMMAND TRACKER'!$I$5:$I$204)-ROW('⚡ COMMAND TRACKER'!$I$5)+1),30),ROW('⚡ COMMAND TRACKER'!$I$5:$I$204)-ROW('⚡ COMMAND TRACKER'!$I$5)+1,0),"")),"")</f>
        <v/>
      </c>
      <c r="I33" s="14" t="str">
        <f aca="false">IFERROR(INDEX('⚡ COMMAND TRACKER'!$AC$5:$AC$204,IFERROR(MATCH(SMALL(IF('⚡ COMMAND TRACKER'!$I$5:$I$204="Booked Meeting",ROW('⚡ COMMAND TRACKER'!$I$5:$I$204)-ROW('⚡ COMMAND TRACKER'!$I$5)+1),30),ROW('⚡ COMMAND TRACKER'!$I$5:$I$204)-ROW('⚡ COMMAND TRACKER'!$I$5)+1,0),"")),"")</f>
        <v/>
      </c>
      <c r="J33" s="10" t="str">
        <f aca="false">IFERROR(INDEX('⚡ COMMAND TRACKER'!$AE$5:$AE$204,IFERROR(MATCH(SMALL(IF('⚡ COMMAND TRACKER'!$I$5:$I$204="Booked Meeting",ROW('⚡ COMMAND TRACKER'!$I$5:$I$204)-ROW('⚡ COMMAND TRACKER'!$I$5)+1),30),ROW('⚡ COMMAND TRACKER'!$I$5:$I$204)-ROW('⚡ COMMAND TRACKER'!$I$5)+1,0),"")),"")</f>
        <v/>
      </c>
    </row>
    <row r="34" customFormat="false" ht="19.5" hidden="false" customHeight="true" outlineLevel="0" collapsed="false">
      <c r="A34" s="17" t="str">
        <f aca="false">IFERROR(INDEX('⚡ COMMAND TRACKER'!$A$5:$A$204,IFERROR(MATCH(SMALL(IF('⚡ COMMAND TRACKER'!$I$5:$I$204="Booked Meeting",ROW('⚡ COMMAND TRACKER'!$I$5:$I$204)-ROW('⚡ COMMAND TRACKER'!$I$5)+1),31),ROW('⚡ COMMAND TRACKER'!$I$5:$I$204)-ROW('⚡ COMMAND TRACKER'!$I$5)+1,0),"")),"")</f>
        <v/>
      </c>
      <c r="B34" s="17" t="str">
        <f aca="false">IFERROR(INDEX('⚡ COMMAND TRACKER'!$E$5:$E$204,IFERROR(MATCH(SMALL(IF('⚡ COMMAND TRACKER'!$I$5:$I$204="Booked Meeting",ROW('⚡ COMMAND TRACKER'!$I$5:$I$204)-ROW('⚡ COMMAND TRACKER'!$I$5)+1),31),ROW('⚡ COMMAND TRACKER'!$I$5:$I$204)-ROW('⚡ COMMAND TRACKER'!$I$5)+1,0),"")),"")</f>
        <v/>
      </c>
      <c r="C34" s="27" t="str">
        <f aca="false">IFERROR(INDEX('⚡ COMMAND TRACKER'!$B$5:$B$204,IFERROR(MATCH(SMALL(IF('⚡ COMMAND TRACKER'!$I$5:$I$204="Booked Meeting",ROW('⚡ COMMAND TRACKER'!$I$5:$I$204)-ROW('⚡ COMMAND TRACKER'!$I$5)+1),31),ROW('⚡ COMMAND TRACKER'!$I$5:$I$204)-ROW('⚡ COMMAND TRACKER'!$I$5)+1,0),"")),"")</f>
        <v/>
      </c>
      <c r="D34" s="18" t="str">
        <f aca="false">IFERROR(INDEX('⚡ COMMAND TRACKER'!$H$5:$H$204,IFERROR(MATCH(SMALL(IF('⚡ COMMAND TRACKER'!$I$5:$I$204="Booked Meeting",ROW('⚡ COMMAND TRACKER'!$I$5:$I$204)-ROW('⚡ COMMAND TRACKER'!$I$5)+1),31),ROW('⚡ COMMAND TRACKER'!$I$5:$I$204)-ROW('⚡ COMMAND TRACKER'!$I$5)+1,0),"")),"")</f>
        <v/>
      </c>
      <c r="E34" s="18" t="str">
        <f aca="false">IFERROR(INDEX('⚡ COMMAND TRACKER'!$V$5:$V$204,IFERROR(MATCH(SMALL(IF('⚡ COMMAND TRACKER'!$I$5:$I$204="Booked Meeting",ROW('⚡ COMMAND TRACKER'!$I$5:$I$204)-ROW('⚡ COMMAND TRACKER'!$I$5)+1),31),ROW('⚡ COMMAND TRACKER'!$I$5:$I$204)-ROW('⚡ COMMAND TRACKER'!$I$5)+1,0),"")),"")</f>
        <v/>
      </c>
      <c r="F34" s="28" t="str">
        <f aca="false">IFERROR(INDEX('⚡ COMMAND TRACKER'!$Y$5:$Y$204,IFERROR(MATCH(SMALL(IF('⚡ COMMAND TRACKER'!$I$5:$I$204="Booked Meeting",ROW('⚡ COMMAND TRACKER'!$I$5:$I$204)-ROW('⚡ COMMAND TRACKER'!$I$5)+1),31),ROW('⚡ COMMAND TRACKER'!$I$5:$I$204)-ROW('⚡ COMMAND TRACKER'!$I$5)+1,0),"")),"")</f>
        <v/>
      </c>
      <c r="G34" s="18" t="str">
        <f aca="false">IFERROR(INDEX('⚡ COMMAND TRACKER'!$Z$5:$Z$204,IFERROR(MATCH(SMALL(IF('⚡ COMMAND TRACKER'!$I$5:$I$204="Booked Meeting",ROW('⚡ COMMAND TRACKER'!$I$5:$I$204)-ROW('⚡ COMMAND TRACKER'!$I$5)+1),31),ROW('⚡ COMMAND TRACKER'!$I$5:$I$204)-ROW('⚡ COMMAND TRACKER'!$I$5)+1,0),"")),"")</f>
        <v/>
      </c>
      <c r="H34" s="17" t="str">
        <f aca="false">IFERROR(INDEX('⚡ COMMAND TRACKER'!$M$5:$M$204,IFERROR(MATCH(SMALL(IF('⚡ COMMAND TRACKER'!$I$5:$I$204="Booked Meeting",ROW('⚡ COMMAND TRACKER'!$I$5:$I$204)-ROW('⚡ COMMAND TRACKER'!$I$5)+1),31),ROW('⚡ COMMAND TRACKER'!$I$5:$I$204)-ROW('⚡ COMMAND TRACKER'!$I$5)+1,0),"")),"")</f>
        <v/>
      </c>
      <c r="I34" s="21" t="str">
        <f aca="false">IFERROR(INDEX('⚡ COMMAND TRACKER'!$AC$5:$AC$204,IFERROR(MATCH(SMALL(IF('⚡ COMMAND TRACKER'!$I$5:$I$204="Booked Meeting",ROW('⚡ COMMAND TRACKER'!$I$5:$I$204)-ROW('⚡ COMMAND TRACKER'!$I$5)+1),31),ROW('⚡ COMMAND TRACKER'!$I$5:$I$204)-ROW('⚡ COMMAND TRACKER'!$I$5)+1,0),"")),"")</f>
        <v/>
      </c>
      <c r="J34" s="17" t="str">
        <f aca="false">IFERROR(INDEX('⚡ COMMAND TRACKER'!$AE$5:$AE$204,IFERROR(MATCH(SMALL(IF('⚡ COMMAND TRACKER'!$I$5:$I$204="Booked Meeting",ROW('⚡ COMMAND TRACKER'!$I$5:$I$204)-ROW('⚡ COMMAND TRACKER'!$I$5)+1),31),ROW('⚡ COMMAND TRACKER'!$I$5:$I$204)-ROW('⚡ COMMAND TRACKER'!$I$5)+1,0),"")),"")</f>
        <v/>
      </c>
    </row>
    <row r="35" customFormat="false" ht="19.5" hidden="false" customHeight="true" outlineLevel="0" collapsed="false">
      <c r="A35" s="10" t="str">
        <f aca="false">IFERROR(INDEX('⚡ COMMAND TRACKER'!$A$5:$A$204,IFERROR(MATCH(SMALL(IF('⚡ COMMAND TRACKER'!$I$5:$I$204="Booked Meeting",ROW('⚡ COMMAND TRACKER'!$I$5:$I$204)-ROW('⚡ COMMAND TRACKER'!$I$5)+1),32),ROW('⚡ COMMAND TRACKER'!$I$5:$I$204)-ROW('⚡ COMMAND TRACKER'!$I$5)+1,0),"")),"")</f>
        <v/>
      </c>
      <c r="B35" s="10" t="str">
        <f aca="false">IFERROR(INDEX('⚡ COMMAND TRACKER'!$E$5:$E$204,IFERROR(MATCH(SMALL(IF('⚡ COMMAND TRACKER'!$I$5:$I$204="Booked Meeting",ROW('⚡ COMMAND TRACKER'!$I$5:$I$204)-ROW('⚡ COMMAND TRACKER'!$I$5)+1),32),ROW('⚡ COMMAND TRACKER'!$I$5:$I$204)-ROW('⚡ COMMAND TRACKER'!$I$5)+1,0),"")),"")</f>
        <v/>
      </c>
      <c r="C35" s="30" t="str">
        <f aca="false">IFERROR(INDEX('⚡ COMMAND TRACKER'!$B$5:$B$204,IFERROR(MATCH(SMALL(IF('⚡ COMMAND TRACKER'!$I$5:$I$204="Booked Meeting",ROW('⚡ COMMAND TRACKER'!$I$5:$I$204)-ROW('⚡ COMMAND TRACKER'!$I$5)+1),32),ROW('⚡ COMMAND TRACKER'!$I$5:$I$204)-ROW('⚡ COMMAND TRACKER'!$I$5)+1,0),"")),"")</f>
        <v/>
      </c>
      <c r="D35" s="11" t="str">
        <f aca="false">IFERROR(INDEX('⚡ COMMAND TRACKER'!$H$5:$H$204,IFERROR(MATCH(SMALL(IF('⚡ COMMAND TRACKER'!$I$5:$I$204="Booked Meeting",ROW('⚡ COMMAND TRACKER'!$I$5:$I$204)-ROW('⚡ COMMAND TRACKER'!$I$5)+1),32),ROW('⚡ COMMAND TRACKER'!$I$5:$I$204)-ROW('⚡ COMMAND TRACKER'!$I$5)+1,0),"")),"")</f>
        <v/>
      </c>
      <c r="E35" s="11" t="str">
        <f aca="false">IFERROR(INDEX('⚡ COMMAND TRACKER'!$V$5:$V$204,IFERROR(MATCH(SMALL(IF('⚡ COMMAND TRACKER'!$I$5:$I$204="Booked Meeting",ROW('⚡ COMMAND TRACKER'!$I$5:$I$204)-ROW('⚡ COMMAND TRACKER'!$I$5)+1),32),ROW('⚡ COMMAND TRACKER'!$I$5:$I$204)-ROW('⚡ COMMAND TRACKER'!$I$5)+1,0),"")),"")</f>
        <v/>
      </c>
      <c r="F35" s="31" t="str">
        <f aca="false">IFERROR(INDEX('⚡ COMMAND TRACKER'!$Y$5:$Y$204,IFERROR(MATCH(SMALL(IF('⚡ COMMAND TRACKER'!$I$5:$I$204="Booked Meeting",ROW('⚡ COMMAND TRACKER'!$I$5:$I$204)-ROW('⚡ COMMAND TRACKER'!$I$5)+1),32),ROW('⚡ COMMAND TRACKER'!$I$5:$I$204)-ROW('⚡ COMMAND TRACKER'!$I$5)+1,0),"")),"")</f>
        <v/>
      </c>
      <c r="G35" s="11" t="str">
        <f aca="false">IFERROR(INDEX('⚡ COMMAND TRACKER'!$Z$5:$Z$204,IFERROR(MATCH(SMALL(IF('⚡ COMMAND TRACKER'!$I$5:$I$204="Booked Meeting",ROW('⚡ COMMAND TRACKER'!$I$5:$I$204)-ROW('⚡ COMMAND TRACKER'!$I$5)+1),32),ROW('⚡ COMMAND TRACKER'!$I$5:$I$204)-ROW('⚡ COMMAND TRACKER'!$I$5)+1,0),"")),"")</f>
        <v/>
      </c>
      <c r="H35" s="10" t="str">
        <f aca="false">IFERROR(INDEX('⚡ COMMAND TRACKER'!$M$5:$M$204,IFERROR(MATCH(SMALL(IF('⚡ COMMAND TRACKER'!$I$5:$I$204="Booked Meeting",ROW('⚡ COMMAND TRACKER'!$I$5:$I$204)-ROW('⚡ COMMAND TRACKER'!$I$5)+1),32),ROW('⚡ COMMAND TRACKER'!$I$5:$I$204)-ROW('⚡ COMMAND TRACKER'!$I$5)+1,0),"")),"")</f>
        <v/>
      </c>
      <c r="I35" s="14" t="str">
        <f aca="false">IFERROR(INDEX('⚡ COMMAND TRACKER'!$AC$5:$AC$204,IFERROR(MATCH(SMALL(IF('⚡ COMMAND TRACKER'!$I$5:$I$204="Booked Meeting",ROW('⚡ COMMAND TRACKER'!$I$5:$I$204)-ROW('⚡ COMMAND TRACKER'!$I$5)+1),32),ROW('⚡ COMMAND TRACKER'!$I$5:$I$204)-ROW('⚡ COMMAND TRACKER'!$I$5)+1,0),"")),"")</f>
        <v/>
      </c>
      <c r="J35" s="10" t="str">
        <f aca="false">IFERROR(INDEX('⚡ COMMAND TRACKER'!$AE$5:$AE$204,IFERROR(MATCH(SMALL(IF('⚡ COMMAND TRACKER'!$I$5:$I$204="Booked Meeting",ROW('⚡ COMMAND TRACKER'!$I$5:$I$204)-ROW('⚡ COMMAND TRACKER'!$I$5)+1),32),ROW('⚡ COMMAND TRACKER'!$I$5:$I$204)-ROW('⚡ COMMAND TRACKER'!$I$5)+1,0),"")),"")</f>
        <v/>
      </c>
    </row>
    <row r="36" customFormat="false" ht="19.5" hidden="false" customHeight="true" outlineLevel="0" collapsed="false">
      <c r="A36" s="17" t="str">
        <f aca="false">IFERROR(INDEX('⚡ COMMAND TRACKER'!$A$5:$A$204,IFERROR(MATCH(SMALL(IF('⚡ COMMAND TRACKER'!$I$5:$I$204="Booked Meeting",ROW('⚡ COMMAND TRACKER'!$I$5:$I$204)-ROW('⚡ COMMAND TRACKER'!$I$5)+1),33),ROW('⚡ COMMAND TRACKER'!$I$5:$I$204)-ROW('⚡ COMMAND TRACKER'!$I$5)+1,0),"")),"")</f>
        <v/>
      </c>
      <c r="B36" s="17" t="str">
        <f aca="false">IFERROR(INDEX('⚡ COMMAND TRACKER'!$E$5:$E$204,IFERROR(MATCH(SMALL(IF('⚡ COMMAND TRACKER'!$I$5:$I$204="Booked Meeting",ROW('⚡ COMMAND TRACKER'!$I$5:$I$204)-ROW('⚡ COMMAND TRACKER'!$I$5)+1),33),ROW('⚡ COMMAND TRACKER'!$I$5:$I$204)-ROW('⚡ COMMAND TRACKER'!$I$5)+1,0),"")),"")</f>
        <v/>
      </c>
      <c r="C36" s="27" t="str">
        <f aca="false">IFERROR(INDEX('⚡ COMMAND TRACKER'!$B$5:$B$204,IFERROR(MATCH(SMALL(IF('⚡ COMMAND TRACKER'!$I$5:$I$204="Booked Meeting",ROW('⚡ COMMAND TRACKER'!$I$5:$I$204)-ROW('⚡ COMMAND TRACKER'!$I$5)+1),33),ROW('⚡ COMMAND TRACKER'!$I$5:$I$204)-ROW('⚡ COMMAND TRACKER'!$I$5)+1,0),"")),"")</f>
        <v/>
      </c>
      <c r="D36" s="18" t="str">
        <f aca="false">IFERROR(INDEX('⚡ COMMAND TRACKER'!$H$5:$H$204,IFERROR(MATCH(SMALL(IF('⚡ COMMAND TRACKER'!$I$5:$I$204="Booked Meeting",ROW('⚡ COMMAND TRACKER'!$I$5:$I$204)-ROW('⚡ COMMAND TRACKER'!$I$5)+1),33),ROW('⚡ COMMAND TRACKER'!$I$5:$I$204)-ROW('⚡ COMMAND TRACKER'!$I$5)+1,0),"")),"")</f>
        <v/>
      </c>
      <c r="E36" s="18" t="str">
        <f aca="false">IFERROR(INDEX('⚡ COMMAND TRACKER'!$V$5:$V$204,IFERROR(MATCH(SMALL(IF('⚡ COMMAND TRACKER'!$I$5:$I$204="Booked Meeting",ROW('⚡ COMMAND TRACKER'!$I$5:$I$204)-ROW('⚡ COMMAND TRACKER'!$I$5)+1),33),ROW('⚡ COMMAND TRACKER'!$I$5:$I$204)-ROW('⚡ COMMAND TRACKER'!$I$5)+1,0),"")),"")</f>
        <v/>
      </c>
      <c r="F36" s="28" t="str">
        <f aca="false">IFERROR(INDEX('⚡ COMMAND TRACKER'!$Y$5:$Y$204,IFERROR(MATCH(SMALL(IF('⚡ COMMAND TRACKER'!$I$5:$I$204="Booked Meeting",ROW('⚡ COMMAND TRACKER'!$I$5:$I$204)-ROW('⚡ COMMAND TRACKER'!$I$5)+1),33),ROW('⚡ COMMAND TRACKER'!$I$5:$I$204)-ROW('⚡ COMMAND TRACKER'!$I$5)+1,0),"")),"")</f>
        <v/>
      </c>
      <c r="G36" s="18" t="str">
        <f aca="false">IFERROR(INDEX('⚡ COMMAND TRACKER'!$Z$5:$Z$204,IFERROR(MATCH(SMALL(IF('⚡ COMMAND TRACKER'!$I$5:$I$204="Booked Meeting",ROW('⚡ COMMAND TRACKER'!$I$5:$I$204)-ROW('⚡ COMMAND TRACKER'!$I$5)+1),33),ROW('⚡ COMMAND TRACKER'!$I$5:$I$204)-ROW('⚡ COMMAND TRACKER'!$I$5)+1,0),"")),"")</f>
        <v/>
      </c>
      <c r="H36" s="17" t="str">
        <f aca="false">IFERROR(INDEX('⚡ COMMAND TRACKER'!$M$5:$M$204,IFERROR(MATCH(SMALL(IF('⚡ COMMAND TRACKER'!$I$5:$I$204="Booked Meeting",ROW('⚡ COMMAND TRACKER'!$I$5:$I$204)-ROW('⚡ COMMAND TRACKER'!$I$5)+1),33),ROW('⚡ COMMAND TRACKER'!$I$5:$I$204)-ROW('⚡ COMMAND TRACKER'!$I$5)+1,0),"")),"")</f>
        <v/>
      </c>
      <c r="I36" s="21" t="str">
        <f aca="false">IFERROR(INDEX('⚡ COMMAND TRACKER'!$AC$5:$AC$204,IFERROR(MATCH(SMALL(IF('⚡ COMMAND TRACKER'!$I$5:$I$204="Booked Meeting",ROW('⚡ COMMAND TRACKER'!$I$5:$I$204)-ROW('⚡ COMMAND TRACKER'!$I$5)+1),33),ROW('⚡ COMMAND TRACKER'!$I$5:$I$204)-ROW('⚡ COMMAND TRACKER'!$I$5)+1,0),"")),"")</f>
        <v/>
      </c>
      <c r="J36" s="17" t="str">
        <f aca="false">IFERROR(INDEX('⚡ COMMAND TRACKER'!$AE$5:$AE$204,IFERROR(MATCH(SMALL(IF('⚡ COMMAND TRACKER'!$I$5:$I$204="Booked Meeting",ROW('⚡ COMMAND TRACKER'!$I$5:$I$204)-ROW('⚡ COMMAND TRACKER'!$I$5)+1),33),ROW('⚡ COMMAND TRACKER'!$I$5:$I$204)-ROW('⚡ COMMAND TRACKER'!$I$5)+1,0),"")),"")</f>
        <v/>
      </c>
    </row>
    <row r="37" customFormat="false" ht="19.5" hidden="false" customHeight="true" outlineLevel="0" collapsed="false">
      <c r="A37" s="10" t="str">
        <f aca="false">IFERROR(INDEX('⚡ COMMAND TRACKER'!$A$5:$A$204,IFERROR(MATCH(SMALL(IF('⚡ COMMAND TRACKER'!$I$5:$I$204="Booked Meeting",ROW('⚡ COMMAND TRACKER'!$I$5:$I$204)-ROW('⚡ COMMAND TRACKER'!$I$5)+1),34),ROW('⚡ COMMAND TRACKER'!$I$5:$I$204)-ROW('⚡ COMMAND TRACKER'!$I$5)+1,0),"")),"")</f>
        <v/>
      </c>
      <c r="B37" s="10" t="str">
        <f aca="false">IFERROR(INDEX('⚡ COMMAND TRACKER'!$E$5:$E$204,IFERROR(MATCH(SMALL(IF('⚡ COMMAND TRACKER'!$I$5:$I$204="Booked Meeting",ROW('⚡ COMMAND TRACKER'!$I$5:$I$204)-ROW('⚡ COMMAND TRACKER'!$I$5)+1),34),ROW('⚡ COMMAND TRACKER'!$I$5:$I$204)-ROW('⚡ COMMAND TRACKER'!$I$5)+1,0),"")),"")</f>
        <v/>
      </c>
      <c r="C37" s="30" t="str">
        <f aca="false">IFERROR(INDEX('⚡ COMMAND TRACKER'!$B$5:$B$204,IFERROR(MATCH(SMALL(IF('⚡ COMMAND TRACKER'!$I$5:$I$204="Booked Meeting",ROW('⚡ COMMAND TRACKER'!$I$5:$I$204)-ROW('⚡ COMMAND TRACKER'!$I$5)+1),34),ROW('⚡ COMMAND TRACKER'!$I$5:$I$204)-ROW('⚡ COMMAND TRACKER'!$I$5)+1,0),"")),"")</f>
        <v/>
      </c>
      <c r="D37" s="11" t="str">
        <f aca="false">IFERROR(INDEX('⚡ COMMAND TRACKER'!$H$5:$H$204,IFERROR(MATCH(SMALL(IF('⚡ COMMAND TRACKER'!$I$5:$I$204="Booked Meeting",ROW('⚡ COMMAND TRACKER'!$I$5:$I$204)-ROW('⚡ COMMAND TRACKER'!$I$5)+1),34),ROW('⚡ COMMAND TRACKER'!$I$5:$I$204)-ROW('⚡ COMMAND TRACKER'!$I$5)+1,0),"")),"")</f>
        <v/>
      </c>
      <c r="E37" s="11" t="str">
        <f aca="false">IFERROR(INDEX('⚡ COMMAND TRACKER'!$V$5:$V$204,IFERROR(MATCH(SMALL(IF('⚡ COMMAND TRACKER'!$I$5:$I$204="Booked Meeting",ROW('⚡ COMMAND TRACKER'!$I$5:$I$204)-ROW('⚡ COMMAND TRACKER'!$I$5)+1),34),ROW('⚡ COMMAND TRACKER'!$I$5:$I$204)-ROW('⚡ COMMAND TRACKER'!$I$5)+1,0),"")),"")</f>
        <v/>
      </c>
      <c r="F37" s="31" t="str">
        <f aca="false">IFERROR(INDEX('⚡ COMMAND TRACKER'!$Y$5:$Y$204,IFERROR(MATCH(SMALL(IF('⚡ COMMAND TRACKER'!$I$5:$I$204="Booked Meeting",ROW('⚡ COMMAND TRACKER'!$I$5:$I$204)-ROW('⚡ COMMAND TRACKER'!$I$5)+1),34),ROW('⚡ COMMAND TRACKER'!$I$5:$I$204)-ROW('⚡ COMMAND TRACKER'!$I$5)+1,0),"")),"")</f>
        <v/>
      </c>
      <c r="G37" s="11" t="str">
        <f aca="false">IFERROR(INDEX('⚡ COMMAND TRACKER'!$Z$5:$Z$204,IFERROR(MATCH(SMALL(IF('⚡ COMMAND TRACKER'!$I$5:$I$204="Booked Meeting",ROW('⚡ COMMAND TRACKER'!$I$5:$I$204)-ROW('⚡ COMMAND TRACKER'!$I$5)+1),34),ROW('⚡ COMMAND TRACKER'!$I$5:$I$204)-ROW('⚡ COMMAND TRACKER'!$I$5)+1,0),"")),"")</f>
        <v/>
      </c>
      <c r="H37" s="10" t="str">
        <f aca="false">IFERROR(INDEX('⚡ COMMAND TRACKER'!$M$5:$M$204,IFERROR(MATCH(SMALL(IF('⚡ COMMAND TRACKER'!$I$5:$I$204="Booked Meeting",ROW('⚡ COMMAND TRACKER'!$I$5:$I$204)-ROW('⚡ COMMAND TRACKER'!$I$5)+1),34),ROW('⚡ COMMAND TRACKER'!$I$5:$I$204)-ROW('⚡ COMMAND TRACKER'!$I$5)+1,0),"")),"")</f>
        <v/>
      </c>
      <c r="I37" s="14" t="str">
        <f aca="false">IFERROR(INDEX('⚡ COMMAND TRACKER'!$AC$5:$AC$204,IFERROR(MATCH(SMALL(IF('⚡ COMMAND TRACKER'!$I$5:$I$204="Booked Meeting",ROW('⚡ COMMAND TRACKER'!$I$5:$I$204)-ROW('⚡ COMMAND TRACKER'!$I$5)+1),34),ROW('⚡ COMMAND TRACKER'!$I$5:$I$204)-ROW('⚡ COMMAND TRACKER'!$I$5)+1,0),"")),"")</f>
        <v/>
      </c>
      <c r="J37" s="10" t="str">
        <f aca="false">IFERROR(INDEX('⚡ COMMAND TRACKER'!$AE$5:$AE$204,IFERROR(MATCH(SMALL(IF('⚡ COMMAND TRACKER'!$I$5:$I$204="Booked Meeting",ROW('⚡ COMMAND TRACKER'!$I$5:$I$204)-ROW('⚡ COMMAND TRACKER'!$I$5)+1),34),ROW('⚡ COMMAND TRACKER'!$I$5:$I$204)-ROW('⚡ COMMAND TRACKER'!$I$5)+1,0),"")),"")</f>
        <v/>
      </c>
    </row>
    <row r="38" customFormat="false" ht="19.5" hidden="false" customHeight="true" outlineLevel="0" collapsed="false">
      <c r="A38" s="17" t="str">
        <f aca="false">IFERROR(INDEX('⚡ COMMAND TRACKER'!$A$5:$A$204,IFERROR(MATCH(SMALL(IF('⚡ COMMAND TRACKER'!$I$5:$I$204="Booked Meeting",ROW('⚡ COMMAND TRACKER'!$I$5:$I$204)-ROW('⚡ COMMAND TRACKER'!$I$5)+1),35),ROW('⚡ COMMAND TRACKER'!$I$5:$I$204)-ROW('⚡ COMMAND TRACKER'!$I$5)+1,0),"")),"")</f>
        <v/>
      </c>
      <c r="B38" s="17" t="str">
        <f aca="false">IFERROR(INDEX('⚡ COMMAND TRACKER'!$E$5:$E$204,IFERROR(MATCH(SMALL(IF('⚡ COMMAND TRACKER'!$I$5:$I$204="Booked Meeting",ROW('⚡ COMMAND TRACKER'!$I$5:$I$204)-ROW('⚡ COMMAND TRACKER'!$I$5)+1),35),ROW('⚡ COMMAND TRACKER'!$I$5:$I$204)-ROW('⚡ COMMAND TRACKER'!$I$5)+1,0),"")),"")</f>
        <v/>
      </c>
      <c r="C38" s="27" t="str">
        <f aca="false">IFERROR(INDEX('⚡ COMMAND TRACKER'!$B$5:$B$204,IFERROR(MATCH(SMALL(IF('⚡ COMMAND TRACKER'!$I$5:$I$204="Booked Meeting",ROW('⚡ COMMAND TRACKER'!$I$5:$I$204)-ROW('⚡ COMMAND TRACKER'!$I$5)+1),35),ROW('⚡ COMMAND TRACKER'!$I$5:$I$204)-ROW('⚡ COMMAND TRACKER'!$I$5)+1,0),"")),"")</f>
        <v/>
      </c>
      <c r="D38" s="18" t="str">
        <f aca="false">IFERROR(INDEX('⚡ COMMAND TRACKER'!$H$5:$H$204,IFERROR(MATCH(SMALL(IF('⚡ COMMAND TRACKER'!$I$5:$I$204="Booked Meeting",ROW('⚡ COMMAND TRACKER'!$I$5:$I$204)-ROW('⚡ COMMAND TRACKER'!$I$5)+1),35),ROW('⚡ COMMAND TRACKER'!$I$5:$I$204)-ROW('⚡ COMMAND TRACKER'!$I$5)+1,0),"")),"")</f>
        <v/>
      </c>
      <c r="E38" s="18" t="str">
        <f aca="false">IFERROR(INDEX('⚡ COMMAND TRACKER'!$V$5:$V$204,IFERROR(MATCH(SMALL(IF('⚡ COMMAND TRACKER'!$I$5:$I$204="Booked Meeting",ROW('⚡ COMMAND TRACKER'!$I$5:$I$204)-ROW('⚡ COMMAND TRACKER'!$I$5)+1),35),ROW('⚡ COMMAND TRACKER'!$I$5:$I$204)-ROW('⚡ COMMAND TRACKER'!$I$5)+1,0),"")),"")</f>
        <v/>
      </c>
      <c r="F38" s="28" t="str">
        <f aca="false">IFERROR(INDEX('⚡ COMMAND TRACKER'!$Y$5:$Y$204,IFERROR(MATCH(SMALL(IF('⚡ COMMAND TRACKER'!$I$5:$I$204="Booked Meeting",ROW('⚡ COMMAND TRACKER'!$I$5:$I$204)-ROW('⚡ COMMAND TRACKER'!$I$5)+1),35),ROW('⚡ COMMAND TRACKER'!$I$5:$I$204)-ROW('⚡ COMMAND TRACKER'!$I$5)+1,0),"")),"")</f>
        <v/>
      </c>
      <c r="G38" s="18" t="str">
        <f aca="false">IFERROR(INDEX('⚡ COMMAND TRACKER'!$Z$5:$Z$204,IFERROR(MATCH(SMALL(IF('⚡ COMMAND TRACKER'!$I$5:$I$204="Booked Meeting",ROW('⚡ COMMAND TRACKER'!$I$5:$I$204)-ROW('⚡ COMMAND TRACKER'!$I$5)+1),35),ROW('⚡ COMMAND TRACKER'!$I$5:$I$204)-ROW('⚡ COMMAND TRACKER'!$I$5)+1,0),"")),"")</f>
        <v/>
      </c>
      <c r="H38" s="17" t="str">
        <f aca="false">IFERROR(INDEX('⚡ COMMAND TRACKER'!$M$5:$M$204,IFERROR(MATCH(SMALL(IF('⚡ COMMAND TRACKER'!$I$5:$I$204="Booked Meeting",ROW('⚡ COMMAND TRACKER'!$I$5:$I$204)-ROW('⚡ COMMAND TRACKER'!$I$5)+1),35),ROW('⚡ COMMAND TRACKER'!$I$5:$I$204)-ROW('⚡ COMMAND TRACKER'!$I$5)+1,0),"")),"")</f>
        <v/>
      </c>
      <c r="I38" s="21" t="str">
        <f aca="false">IFERROR(INDEX('⚡ COMMAND TRACKER'!$AC$5:$AC$204,IFERROR(MATCH(SMALL(IF('⚡ COMMAND TRACKER'!$I$5:$I$204="Booked Meeting",ROW('⚡ COMMAND TRACKER'!$I$5:$I$204)-ROW('⚡ COMMAND TRACKER'!$I$5)+1),35),ROW('⚡ COMMAND TRACKER'!$I$5:$I$204)-ROW('⚡ COMMAND TRACKER'!$I$5)+1,0),"")),"")</f>
        <v/>
      </c>
      <c r="J38" s="17" t="str">
        <f aca="false">IFERROR(INDEX('⚡ COMMAND TRACKER'!$AE$5:$AE$204,IFERROR(MATCH(SMALL(IF('⚡ COMMAND TRACKER'!$I$5:$I$204="Booked Meeting",ROW('⚡ COMMAND TRACKER'!$I$5:$I$204)-ROW('⚡ COMMAND TRACKER'!$I$5)+1),35),ROW('⚡ COMMAND TRACKER'!$I$5:$I$204)-ROW('⚡ COMMAND TRACKER'!$I$5)+1,0),"")),"")</f>
        <v/>
      </c>
    </row>
    <row r="39" customFormat="false" ht="19.5" hidden="false" customHeight="true" outlineLevel="0" collapsed="false">
      <c r="A39" s="10" t="str">
        <f aca="false">IFERROR(INDEX('⚡ COMMAND TRACKER'!$A$5:$A$204,IFERROR(MATCH(SMALL(IF('⚡ COMMAND TRACKER'!$I$5:$I$204="Booked Meeting",ROW('⚡ COMMAND TRACKER'!$I$5:$I$204)-ROW('⚡ COMMAND TRACKER'!$I$5)+1),36),ROW('⚡ COMMAND TRACKER'!$I$5:$I$204)-ROW('⚡ COMMAND TRACKER'!$I$5)+1,0),"")),"")</f>
        <v/>
      </c>
      <c r="B39" s="10" t="str">
        <f aca="false">IFERROR(INDEX('⚡ COMMAND TRACKER'!$E$5:$E$204,IFERROR(MATCH(SMALL(IF('⚡ COMMAND TRACKER'!$I$5:$I$204="Booked Meeting",ROW('⚡ COMMAND TRACKER'!$I$5:$I$204)-ROW('⚡ COMMAND TRACKER'!$I$5)+1),36),ROW('⚡ COMMAND TRACKER'!$I$5:$I$204)-ROW('⚡ COMMAND TRACKER'!$I$5)+1,0),"")),"")</f>
        <v/>
      </c>
      <c r="C39" s="30" t="str">
        <f aca="false">IFERROR(INDEX('⚡ COMMAND TRACKER'!$B$5:$B$204,IFERROR(MATCH(SMALL(IF('⚡ COMMAND TRACKER'!$I$5:$I$204="Booked Meeting",ROW('⚡ COMMAND TRACKER'!$I$5:$I$204)-ROW('⚡ COMMAND TRACKER'!$I$5)+1),36),ROW('⚡ COMMAND TRACKER'!$I$5:$I$204)-ROW('⚡ COMMAND TRACKER'!$I$5)+1,0),"")),"")</f>
        <v/>
      </c>
      <c r="D39" s="11" t="str">
        <f aca="false">IFERROR(INDEX('⚡ COMMAND TRACKER'!$H$5:$H$204,IFERROR(MATCH(SMALL(IF('⚡ COMMAND TRACKER'!$I$5:$I$204="Booked Meeting",ROW('⚡ COMMAND TRACKER'!$I$5:$I$204)-ROW('⚡ COMMAND TRACKER'!$I$5)+1),36),ROW('⚡ COMMAND TRACKER'!$I$5:$I$204)-ROW('⚡ COMMAND TRACKER'!$I$5)+1,0),"")),"")</f>
        <v/>
      </c>
      <c r="E39" s="11" t="str">
        <f aca="false">IFERROR(INDEX('⚡ COMMAND TRACKER'!$V$5:$V$204,IFERROR(MATCH(SMALL(IF('⚡ COMMAND TRACKER'!$I$5:$I$204="Booked Meeting",ROW('⚡ COMMAND TRACKER'!$I$5:$I$204)-ROW('⚡ COMMAND TRACKER'!$I$5)+1),36),ROW('⚡ COMMAND TRACKER'!$I$5:$I$204)-ROW('⚡ COMMAND TRACKER'!$I$5)+1,0),"")),"")</f>
        <v/>
      </c>
      <c r="F39" s="31" t="str">
        <f aca="false">IFERROR(INDEX('⚡ COMMAND TRACKER'!$Y$5:$Y$204,IFERROR(MATCH(SMALL(IF('⚡ COMMAND TRACKER'!$I$5:$I$204="Booked Meeting",ROW('⚡ COMMAND TRACKER'!$I$5:$I$204)-ROW('⚡ COMMAND TRACKER'!$I$5)+1),36),ROW('⚡ COMMAND TRACKER'!$I$5:$I$204)-ROW('⚡ COMMAND TRACKER'!$I$5)+1,0),"")),"")</f>
        <v/>
      </c>
      <c r="G39" s="11" t="str">
        <f aca="false">IFERROR(INDEX('⚡ COMMAND TRACKER'!$Z$5:$Z$204,IFERROR(MATCH(SMALL(IF('⚡ COMMAND TRACKER'!$I$5:$I$204="Booked Meeting",ROW('⚡ COMMAND TRACKER'!$I$5:$I$204)-ROW('⚡ COMMAND TRACKER'!$I$5)+1),36),ROW('⚡ COMMAND TRACKER'!$I$5:$I$204)-ROW('⚡ COMMAND TRACKER'!$I$5)+1,0),"")),"")</f>
        <v/>
      </c>
      <c r="H39" s="10" t="str">
        <f aca="false">IFERROR(INDEX('⚡ COMMAND TRACKER'!$M$5:$M$204,IFERROR(MATCH(SMALL(IF('⚡ COMMAND TRACKER'!$I$5:$I$204="Booked Meeting",ROW('⚡ COMMAND TRACKER'!$I$5:$I$204)-ROW('⚡ COMMAND TRACKER'!$I$5)+1),36),ROW('⚡ COMMAND TRACKER'!$I$5:$I$204)-ROW('⚡ COMMAND TRACKER'!$I$5)+1,0),"")),"")</f>
        <v/>
      </c>
      <c r="I39" s="14" t="str">
        <f aca="false">IFERROR(INDEX('⚡ COMMAND TRACKER'!$AC$5:$AC$204,IFERROR(MATCH(SMALL(IF('⚡ COMMAND TRACKER'!$I$5:$I$204="Booked Meeting",ROW('⚡ COMMAND TRACKER'!$I$5:$I$204)-ROW('⚡ COMMAND TRACKER'!$I$5)+1),36),ROW('⚡ COMMAND TRACKER'!$I$5:$I$204)-ROW('⚡ COMMAND TRACKER'!$I$5)+1,0),"")),"")</f>
        <v/>
      </c>
      <c r="J39" s="10" t="str">
        <f aca="false">IFERROR(INDEX('⚡ COMMAND TRACKER'!$AE$5:$AE$204,IFERROR(MATCH(SMALL(IF('⚡ COMMAND TRACKER'!$I$5:$I$204="Booked Meeting",ROW('⚡ COMMAND TRACKER'!$I$5:$I$204)-ROW('⚡ COMMAND TRACKER'!$I$5)+1),36),ROW('⚡ COMMAND TRACKER'!$I$5:$I$204)-ROW('⚡ COMMAND TRACKER'!$I$5)+1,0),"")),"")</f>
        <v/>
      </c>
    </row>
    <row r="40" customFormat="false" ht="19.5" hidden="false" customHeight="true" outlineLevel="0" collapsed="false">
      <c r="A40" s="17" t="str">
        <f aca="false">IFERROR(INDEX('⚡ COMMAND TRACKER'!$A$5:$A$204,IFERROR(MATCH(SMALL(IF('⚡ COMMAND TRACKER'!$I$5:$I$204="Booked Meeting",ROW('⚡ COMMAND TRACKER'!$I$5:$I$204)-ROW('⚡ COMMAND TRACKER'!$I$5)+1),37),ROW('⚡ COMMAND TRACKER'!$I$5:$I$204)-ROW('⚡ COMMAND TRACKER'!$I$5)+1,0),"")),"")</f>
        <v/>
      </c>
      <c r="B40" s="17" t="str">
        <f aca="false">IFERROR(INDEX('⚡ COMMAND TRACKER'!$E$5:$E$204,IFERROR(MATCH(SMALL(IF('⚡ COMMAND TRACKER'!$I$5:$I$204="Booked Meeting",ROW('⚡ COMMAND TRACKER'!$I$5:$I$204)-ROW('⚡ COMMAND TRACKER'!$I$5)+1),37),ROW('⚡ COMMAND TRACKER'!$I$5:$I$204)-ROW('⚡ COMMAND TRACKER'!$I$5)+1,0),"")),"")</f>
        <v/>
      </c>
      <c r="C40" s="27" t="str">
        <f aca="false">IFERROR(INDEX('⚡ COMMAND TRACKER'!$B$5:$B$204,IFERROR(MATCH(SMALL(IF('⚡ COMMAND TRACKER'!$I$5:$I$204="Booked Meeting",ROW('⚡ COMMAND TRACKER'!$I$5:$I$204)-ROW('⚡ COMMAND TRACKER'!$I$5)+1),37),ROW('⚡ COMMAND TRACKER'!$I$5:$I$204)-ROW('⚡ COMMAND TRACKER'!$I$5)+1,0),"")),"")</f>
        <v/>
      </c>
      <c r="D40" s="18" t="str">
        <f aca="false">IFERROR(INDEX('⚡ COMMAND TRACKER'!$H$5:$H$204,IFERROR(MATCH(SMALL(IF('⚡ COMMAND TRACKER'!$I$5:$I$204="Booked Meeting",ROW('⚡ COMMAND TRACKER'!$I$5:$I$204)-ROW('⚡ COMMAND TRACKER'!$I$5)+1),37),ROW('⚡ COMMAND TRACKER'!$I$5:$I$204)-ROW('⚡ COMMAND TRACKER'!$I$5)+1,0),"")),"")</f>
        <v/>
      </c>
      <c r="E40" s="18" t="str">
        <f aca="false">IFERROR(INDEX('⚡ COMMAND TRACKER'!$V$5:$V$204,IFERROR(MATCH(SMALL(IF('⚡ COMMAND TRACKER'!$I$5:$I$204="Booked Meeting",ROW('⚡ COMMAND TRACKER'!$I$5:$I$204)-ROW('⚡ COMMAND TRACKER'!$I$5)+1),37),ROW('⚡ COMMAND TRACKER'!$I$5:$I$204)-ROW('⚡ COMMAND TRACKER'!$I$5)+1,0),"")),"")</f>
        <v/>
      </c>
      <c r="F40" s="28" t="str">
        <f aca="false">IFERROR(INDEX('⚡ COMMAND TRACKER'!$Y$5:$Y$204,IFERROR(MATCH(SMALL(IF('⚡ COMMAND TRACKER'!$I$5:$I$204="Booked Meeting",ROW('⚡ COMMAND TRACKER'!$I$5:$I$204)-ROW('⚡ COMMAND TRACKER'!$I$5)+1),37),ROW('⚡ COMMAND TRACKER'!$I$5:$I$204)-ROW('⚡ COMMAND TRACKER'!$I$5)+1,0),"")),"")</f>
        <v/>
      </c>
      <c r="G40" s="18" t="str">
        <f aca="false">IFERROR(INDEX('⚡ COMMAND TRACKER'!$Z$5:$Z$204,IFERROR(MATCH(SMALL(IF('⚡ COMMAND TRACKER'!$I$5:$I$204="Booked Meeting",ROW('⚡ COMMAND TRACKER'!$I$5:$I$204)-ROW('⚡ COMMAND TRACKER'!$I$5)+1),37),ROW('⚡ COMMAND TRACKER'!$I$5:$I$204)-ROW('⚡ COMMAND TRACKER'!$I$5)+1,0),"")),"")</f>
        <v/>
      </c>
      <c r="H40" s="17" t="str">
        <f aca="false">IFERROR(INDEX('⚡ COMMAND TRACKER'!$M$5:$M$204,IFERROR(MATCH(SMALL(IF('⚡ COMMAND TRACKER'!$I$5:$I$204="Booked Meeting",ROW('⚡ COMMAND TRACKER'!$I$5:$I$204)-ROW('⚡ COMMAND TRACKER'!$I$5)+1),37),ROW('⚡ COMMAND TRACKER'!$I$5:$I$204)-ROW('⚡ COMMAND TRACKER'!$I$5)+1,0),"")),"")</f>
        <v/>
      </c>
      <c r="I40" s="21" t="str">
        <f aca="false">IFERROR(INDEX('⚡ COMMAND TRACKER'!$AC$5:$AC$204,IFERROR(MATCH(SMALL(IF('⚡ COMMAND TRACKER'!$I$5:$I$204="Booked Meeting",ROW('⚡ COMMAND TRACKER'!$I$5:$I$204)-ROW('⚡ COMMAND TRACKER'!$I$5)+1),37),ROW('⚡ COMMAND TRACKER'!$I$5:$I$204)-ROW('⚡ COMMAND TRACKER'!$I$5)+1,0),"")),"")</f>
        <v/>
      </c>
      <c r="J40" s="17" t="str">
        <f aca="false">IFERROR(INDEX('⚡ COMMAND TRACKER'!$AE$5:$AE$204,IFERROR(MATCH(SMALL(IF('⚡ COMMAND TRACKER'!$I$5:$I$204="Booked Meeting",ROW('⚡ COMMAND TRACKER'!$I$5:$I$204)-ROW('⚡ COMMAND TRACKER'!$I$5)+1),37),ROW('⚡ COMMAND TRACKER'!$I$5:$I$204)-ROW('⚡ COMMAND TRACKER'!$I$5)+1,0),"")),"")</f>
        <v/>
      </c>
    </row>
    <row r="41" customFormat="false" ht="19.5" hidden="false" customHeight="true" outlineLevel="0" collapsed="false">
      <c r="A41" s="10" t="str">
        <f aca="false">IFERROR(INDEX('⚡ COMMAND TRACKER'!$A$5:$A$204,IFERROR(MATCH(SMALL(IF('⚡ COMMAND TRACKER'!$I$5:$I$204="Booked Meeting",ROW('⚡ COMMAND TRACKER'!$I$5:$I$204)-ROW('⚡ COMMAND TRACKER'!$I$5)+1),38),ROW('⚡ COMMAND TRACKER'!$I$5:$I$204)-ROW('⚡ COMMAND TRACKER'!$I$5)+1,0),"")),"")</f>
        <v/>
      </c>
      <c r="B41" s="10" t="str">
        <f aca="false">IFERROR(INDEX('⚡ COMMAND TRACKER'!$E$5:$E$204,IFERROR(MATCH(SMALL(IF('⚡ COMMAND TRACKER'!$I$5:$I$204="Booked Meeting",ROW('⚡ COMMAND TRACKER'!$I$5:$I$204)-ROW('⚡ COMMAND TRACKER'!$I$5)+1),38),ROW('⚡ COMMAND TRACKER'!$I$5:$I$204)-ROW('⚡ COMMAND TRACKER'!$I$5)+1,0),"")),"")</f>
        <v/>
      </c>
      <c r="C41" s="30" t="str">
        <f aca="false">IFERROR(INDEX('⚡ COMMAND TRACKER'!$B$5:$B$204,IFERROR(MATCH(SMALL(IF('⚡ COMMAND TRACKER'!$I$5:$I$204="Booked Meeting",ROW('⚡ COMMAND TRACKER'!$I$5:$I$204)-ROW('⚡ COMMAND TRACKER'!$I$5)+1),38),ROW('⚡ COMMAND TRACKER'!$I$5:$I$204)-ROW('⚡ COMMAND TRACKER'!$I$5)+1,0),"")),"")</f>
        <v/>
      </c>
      <c r="D41" s="11" t="str">
        <f aca="false">IFERROR(INDEX('⚡ COMMAND TRACKER'!$H$5:$H$204,IFERROR(MATCH(SMALL(IF('⚡ COMMAND TRACKER'!$I$5:$I$204="Booked Meeting",ROW('⚡ COMMAND TRACKER'!$I$5:$I$204)-ROW('⚡ COMMAND TRACKER'!$I$5)+1),38),ROW('⚡ COMMAND TRACKER'!$I$5:$I$204)-ROW('⚡ COMMAND TRACKER'!$I$5)+1,0),"")),"")</f>
        <v/>
      </c>
      <c r="E41" s="11" t="str">
        <f aca="false">IFERROR(INDEX('⚡ COMMAND TRACKER'!$V$5:$V$204,IFERROR(MATCH(SMALL(IF('⚡ COMMAND TRACKER'!$I$5:$I$204="Booked Meeting",ROW('⚡ COMMAND TRACKER'!$I$5:$I$204)-ROW('⚡ COMMAND TRACKER'!$I$5)+1),38),ROW('⚡ COMMAND TRACKER'!$I$5:$I$204)-ROW('⚡ COMMAND TRACKER'!$I$5)+1,0),"")),"")</f>
        <v/>
      </c>
      <c r="F41" s="31" t="str">
        <f aca="false">IFERROR(INDEX('⚡ COMMAND TRACKER'!$Y$5:$Y$204,IFERROR(MATCH(SMALL(IF('⚡ COMMAND TRACKER'!$I$5:$I$204="Booked Meeting",ROW('⚡ COMMAND TRACKER'!$I$5:$I$204)-ROW('⚡ COMMAND TRACKER'!$I$5)+1),38),ROW('⚡ COMMAND TRACKER'!$I$5:$I$204)-ROW('⚡ COMMAND TRACKER'!$I$5)+1,0),"")),"")</f>
        <v/>
      </c>
      <c r="G41" s="11" t="str">
        <f aca="false">IFERROR(INDEX('⚡ COMMAND TRACKER'!$Z$5:$Z$204,IFERROR(MATCH(SMALL(IF('⚡ COMMAND TRACKER'!$I$5:$I$204="Booked Meeting",ROW('⚡ COMMAND TRACKER'!$I$5:$I$204)-ROW('⚡ COMMAND TRACKER'!$I$5)+1),38),ROW('⚡ COMMAND TRACKER'!$I$5:$I$204)-ROW('⚡ COMMAND TRACKER'!$I$5)+1,0),"")),"")</f>
        <v/>
      </c>
      <c r="H41" s="10" t="str">
        <f aca="false">IFERROR(INDEX('⚡ COMMAND TRACKER'!$M$5:$M$204,IFERROR(MATCH(SMALL(IF('⚡ COMMAND TRACKER'!$I$5:$I$204="Booked Meeting",ROW('⚡ COMMAND TRACKER'!$I$5:$I$204)-ROW('⚡ COMMAND TRACKER'!$I$5)+1),38),ROW('⚡ COMMAND TRACKER'!$I$5:$I$204)-ROW('⚡ COMMAND TRACKER'!$I$5)+1,0),"")),"")</f>
        <v/>
      </c>
      <c r="I41" s="14" t="str">
        <f aca="false">IFERROR(INDEX('⚡ COMMAND TRACKER'!$AC$5:$AC$204,IFERROR(MATCH(SMALL(IF('⚡ COMMAND TRACKER'!$I$5:$I$204="Booked Meeting",ROW('⚡ COMMAND TRACKER'!$I$5:$I$204)-ROW('⚡ COMMAND TRACKER'!$I$5)+1),38),ROW('⚡ COMMAND TRACKER'!$I$5:$I$204)-ROW('⚡ COMMAND TRACKER'!$I$5)+1,0),"")),"")</f>
        <v/>
      </c>
      <c r="J41" s="10" t="str">
        <f aca="false">IFERROR(INDEX('⚡ COMMAND TRACKER'!$AE$5:$AE$204,IFERROR(MATCH(SMALL(IF('⚡ COMMAND TRACKER'!$I$5:$I$204="Booked Meeting",ROW('⚡ COMMAND TRACKER'!$I$5:$I$204)-ROW('⚡ COMMAND TRACKER'!$I$5)+1),38),ROW('⚡ COMMAND TRACKER'!$I$5:$I$204)-ROW('⚡ COMMAND TRACKER'!$I$5)+1,0),"")),"")</f>
        <v/>
      </c>
    </row>
    <row r="42" customFormat="false" ht="19.5" hidden="false" customHeight="true" outlineLevel="0" collapsed="false">
      <c r="A42" s="17" t="str">
        <f aca="false">IFERROR(INDEX('⚡ COMMAND TRACKER'!$A$5:$A$204,IFERROR(MATCH(SMALL(IF('⚡ COMMAND TRACKER'!$I$5:$I$204="Booked Meeting",ROW('⚡ COMMAND TRACKER'!$I$5:$I$204)-ROW('⚡ COMMAND TRACKER'!$I$5)+1),39),ROW('⚡ COMMAND TRACKER'!$I$5:$I$204)-ROW('⚡ COMMAND TRACKER'!$I$5)+1,0),"")),"")</f>
        <v/>
      </c>
      <c r="B42" s="17" t="str">
        <f aca="false">IFERROR(INDEX('⚡ COMMAND TRACKER'!$E$5:$E$204,IFERROR(MATCH(SMALL(IF('⚡ COMMAND TRACKER'!$I$5:$I$204="Booked Meeting",ROW('⚡ COMMAND TRACKER'!$I$5:$I$204)-ROW('⚡ COMMAND TRACKER'!$I$5)+1),39),ROW('⚡ COMMAND TRACKER'!$I$5:$I$204)-ROW('⚡ COMMAND TRACKER'!$I$5)+1,0),"")),"")</f>
        <v/>
      </c>
      <c r="C42" s="27" t="str">
        <f aca="false">IFERROR(INDEX('⚡ COMMAND TRACKER'!$B$5:$B$204,IFERROR(MATCH(SMALL(IF('⚡ COMMAND TRACKER'!$I$5:$I$204="Booked Meeting",ROW('⚡ COMMAND TRACKER'!$I$5:$I$204)-ROW('⚡ COMMAND TRACKER'!$I$5)+1),39),ROW('⚡ COMMAND TRACKER'!$I$5:$I$204)-ROW('⚡ COMMAND TRACKER'!$I$5)+1,0),"")),"")</f>
        <v/>
      </c>
      <c r="D42" s="18" t="str">
        <f aca="false">IFERROR(INDEX('⚡ COMMAND TRACKER'!$H$5:$H$204,IFERROR(MATCH(SMALL(IF('⚡ COMMAND TRACKER'!$I$5:$I$204="Booked Meeting",ROW('⚡ COMMAND TRACKER'!$I$5:$I$204)-ROW('⚡ COMMAND TRACKER'!$I$5)+1),39),ROW('⚡ COMMAND TRACKER'!$I$5:$I$204)-ROW('⚡ COMMAND TRACKER'!$I$5)+1,0),"")),"")</f>
        <v/>
      </c>
      <c r="E42" s="18" t="str">
        <f aca="false">IFERROR(INDEX('⚡ COMMAND TRACKER'!$V$5:$V$204,IFERROR(MATCH(SMALL(IF('⚡ COMMAND TRACKER'!$I$5:$I$204="Booked Meeting",ROW('⚡ COMMAND TRACKER'!$I$5:$I$204)-ROW('⚡ COMMAND TRACKER'!$I$5)+1),39),ROW('⚡ COMMAND TRACKER'!$I$5:$I$204)-ROW('⚡ COMMAND TRACKER'!$I$5)+1,0),"")),"")</f>
        <v/>
      </c>
      <c r="F42" s="28" t="str">
        <f aca="false">IFERROR(INDEX('⚡ COMMAND TRACKER'!$Y$5:$Y$204,IFERROR(MATCH(SMALL(IF('⚡ COMMAND TRACKER'!$I$5:$I$204="Booked Meeting",ROW('⚡ COMMAND TRACKER'!$I$5:$I$204)-ROW('⚡ COMMAND TRACKER'!$I$5)+1),39),ROW('⚡ COMMAND TRACKER'!$I$5:$I$204)-ROW('⚡ COMMAND TRACKER'!$I$5)+1,0),"")),"")</f>
        <v/>
      </c>
      <c r="G42" s="18" t="str">
        <f aca="false">IFERROR(INDEX('⚡ COMMAND TRACKER'!$Z$5:$Z$204,IFERROR(MATCH(SMALL(IF('⚡ COMMAND TRACKER'!$I$5:$I$204="Booked Meeting",ROW('⚡ COMMAND TRACKER'!$I$5:$I$204)-ROW('⚡ COMMAND TRACKER'!$I$5)+1),39),ROW('⚡ COMMAND TRACKER'!$I$5:$I$204)-ROW('⚡ COMMAND TRACKER'!$I$5)+1,0),"")),"")</f>
        <v/>
      </c>
      <c r="H42" s="17" t="str">
        <f aca="false">IFERROR(INDEX('⚡ COMMAND TRACKER'!$M$5:$M$204,IFERROR(MATCH(SMALL(IF('⚡ COMMAND TRACKER'!$I$5:$I$204="Booked Meeting",ROW('⚡ COMMAND TRACKER'!$I$5:$I$204)-ROW('⚡ COMMAND TRACKER'!$I$5)+1),39),ROW('⚡ COMMAND TRACKER'!$I$5:$I$204)-ROW('⚡ COMMAND TRACKER'!$I$5)+1,0),"")),"")</f>
        <v/>
      </c>
      <c r="I42" s="21" t="str">
        <f aca="false">IFERROR(INDEX('⚡ COMMAND TRACKER'!$AC$5:$AC$204,IFERROR(MATCH(SMALL(IF('⚡ COMMAND TRACKER'!$I$5:$I$204="Booked Meeting",ROW('⚡ COMMAND TRACKER'!$I$5:$I$204)-ROW('⚡ COMMAND TRACKER'!$I$5)+1),39),ROW('⚡ COMMAND TRACKER'!$I$5:$I$204)-ROW('⚡ COMMAND TRACKER'!$I$5)+1,0),"")),"")</f>
        <v/>
      </c>
      <c r="J42" s="17" t="str">
        <f aca="false">IFERROR(INDEX('⚡ COMMAND TRACKER'!$AE$5:$AE$204,IFERROR(MATCH(SMALL(IF('⚡ COMMAND TRACKER'!$I$5:$I$204="Booked Meeting",ROW('⚡ COMMAND TRACKER'!$I$5:$I$204)-ROW('⚡ COMMAND TRACKER'!$I$5)+1),39),ROW('⚡ COMMAND TRACKER'!$I$5:$I$204)-ROW('⚡ COMMAND TRACKER'!$I$5)+1,0),"")),"")</f>
        <v/>
      </c>
    </row>
    <row r="43" customFormat="false" ht="19.5" hidden="false" customHeight="true" outlineLevel="0" collapsed="false">
      <c r="A43" s="10" t="str">
        <f aca="false">IFERROR(INDEX('⚡ COMMAND TRACKER'!$A$5:$A$204,IFERROR(MATCH(SMALL(IF('⚡ COMMAND TRACKER'!$I$5:$I$204="Booked Meeting",ROW('⚡ COMMAND TRACKER'!$I$5:$I$204)-ROW('⚡ COMMAND TRACKER'!$I$5)+1),40),ROW('⚡ COMMAND TRACKER'!$I$5:$I$204)-ROW('⚡ COMMAND TRACKER'!$I$5)+1,0),"")),"")</f>
        <v/>
      </c>
      <c r="B43" s="10" t="str">
        <f aca="false">IFERROR(INDEX('⚡ COMMAND TRACKER'!$E$5:$E$204,IFERROR(MATCH(SMALL(IF('⚡ COMMAND TRACKER'!$I$5:$I$204="Booked Meeting",ROW('⚡ COMMAND TRACKER'!$I$5:$I$204)-ROW('⚡ COMMAND TRACKER'!$I$5)+1),40),ROW('⚡ COMMAND TRACKER'!$I$5:$I$204)-ROW('⚡ COMMAND TRACKER'!$I$5)+1,0),"")),"")</f>
        <v/>
      </c>
      <c r="C43" s="30" t="str">
        <f aca="false">IFERROR(INDEX('⚡ COMMAND TRACKER'!$B$5:$B$204,IFERROR(MATCH(SMALL(IF('⚡ COMMAND TRACKER'!$I$5:$I$204="Booked Meeting",ROW('⚡ COMMAND TRACKER'!$I$5:$I$204)-ROW('⚡ COMMAND TRACKER'!$I$5)+1),40),ROW('⚡ COMMAND TRACKER'!$I$5:$I$204)-ROW('⚡ COMMAND TRACKER'!$I$5)+1,0),"")),"")</f>
        <v/>
      </c>
      <c r="D43" s="11" t="str">
        <f aca="false">IFERROR(INDEX('⚡ COMMAND TRACKER'!$H$5:$H$204,IFERROR(MATCH(SMALL(IF('⚡ COMMAND TRACKER'!$I$5:$I$204="Booked Meeting",ROW('⚡ COMMAND TRACKER'!$I$5:$I$204)-ROW('⚡ COMMAND TRACKER'!$I$5)+1),40),ROW('⚡ COMMAND TRACKER'!$I$5:$I$204)-ROW('⚡ COMMAND TRACKER'!$I$5)+1,0),"")),"")</f>
        <v/>
      </c>
      <c r="E43" s="11" t="str">
        <f aca="false">IFERROR(INDEX('⚡ COMMAND TRACKER'!$V$5:$V$204,IFERROR(MATCH(SMALL(IF('⚡ COMMAND TRACKER'!$I$5:$I$204="Booked Meeting",ROW('⚡ COMMAND TRACKER'!$I$5:$I$204)-ROW('⚡ COMMAND TRACKER'!$I$5)+1),40),ROW('⚡ COMMAND TRACKER'!$I$5:$I$204)-ROW('⚡ COMMAND TRACKER'!$I$5)+1,0),"")),"")</f>
        <v/>
      </c>
      <c r="F43" s="31" t="str">
        <f aca="false">IFERROR(INDEX('⚡ COMMAND TRACKER'!$Y$5:$Y$204,IFERROR(MATCH(SMALL(IF('⚡ COMMAND TRACKER'!$I$5:$I$204="Booked Meeting",ROW('⚡ COMMAND TRACKER'!$I$5:$I$204)-ROW('⚡ COMMAND TRACKER'!$I$5)+1),40),ROW('⚡ COMMAND TRACKER'!$I$5:$I$204)-ROW('⚡ COMMAND TRACKER'!$I$5)+1,0),"")),"")</f>
        <v/>
      </c>
      <c r="G43" s="11" t="str">
        <f aca="false">IFERROR(INDEX('⚡ COMMAND TRACKER'!$Z$5:$Z$204,IFERROR(MATCH(SMALL(IF('⚡ COMMAND TRACKER'!$I$5:$I$204="Booked Meeting",ROW('⚡ COMMAND TRACKER'!$I$5:$I$204)-ROW('⚡ COMMAND TRACKER'!$I$5)+1),40),ROW('⚡ COMMAND TRACKER'!$I$5:$I$204)-ROW('⚡ COMMAND TRACKER'!$I$5)+1,0),"")),"")</f>
        <v/>
      </c>
      <c r="H43" s="10" t="str">
        <f aca="false">IFERROR(INDEX('⚡ COMMAND TRACKER'!$M$5:$M$204,IFERROR(MATCH(SMALL(IF('⚡ COMMAND TRACKER'!$I$5:$I$204="Booked Meeting",ROW('⚡ COMMAND TRACKER'!$I$5:$I$204)-ROW('⚡ COMMAND TRACKER'!$I$5)+1),40),ROW('⚡ COMMAND TRACKER'!$I$5:$I$204)-ROW('⚡ COMMAND TRACKER'!$I$5)+1,0),"")),"")</f>
        <v/>
      </c>
      <c r="I43" s="14" t="str">
        <f aca="false">IFERROR(INDEX('⚡ COMMAND TRACKER'!$AC$5:$AC$204,IFERROR(MATCH(SMALL(IF('⚡ COMMAND TRACKER'!$I$5:$I$204="Booked Meeting",ROW('⚡ COMMAND TRACKER'!$I$5:$I$204)-ROW('⚡ COMMAND TRACKER'!$I$5)+1),40),ROW('⚡ COMMAND TRACKER'!$I$5:$I$204)-ROW('⚡ COMMAND TRACKER'!$I$5)+1,0),"")),"")</f>
        <v/>
      </c>
      <c r="J43" s="10" t="str">
        <f aca="false">IFERROR(INDEX('⚡ COMMAND TRACKER'!$AE$5:$AE$204,IFERROR(MATCH(SMALL(IF('⚡ COMMAND TRACKER'!$I$5:$I$204="Booked Meeting",ROW('⚡ COMMAND TRACKER'!$I$5:$I$204)-ROW('⚡ COMMAND TRACKER'!$I$5)+1),40),ROW('⚡ COMMAND TRACKER'!$I$5:$I$204)-ROW('⚡ COMMAND TRACKER'!$I$5)+1,0),"")),"")</f>
        <v/>
      </c>
    </row>
    <row r="44" customFormat="false" ht="19.5" hidden="false" customHeight="true" outlineLevel="0" collapsed="false">
      <c r="A44" s="17" t="str">
        <f aca="false">IFERROR(INDEX('⚡ COMMAND TRACKER'!$A$5:$A$204,IFERROR(MATCH(SMALL(IF('⚡ COMMAND TRACKER'!$I$5:$I$204="Booked Meeting",ROW('⚡ COMMAND TRACKER'!$I$5:$I$204)-ROW('⚡ COMMAND TRACKER'!$I$5)+1),41),ROW('⚡ COMMAND TRACKER'!$I$5:$I$204)-ROW('⚡ COMMAND TRACKER'!$I$5)+1,0),"")),"")</f>
        <v/>
      </c>
      <c r="B44" s="17" t="str">
        <f aca="false">IFERROR(INDEX('⚡ COMMAND TRACKER'!$E$5:$E$204,IFERROR(MATCH(SMALL(IF('⚡ COMMAND TRACKER'!$I$5:$I$204="Booked Meeting",ROW('⚡ COMMAND TRACKER'!$I$5:$I$204)-ROW('⚡ COMMAND TRACKER'!$I$5)+1),41),ROW('⚡ COMMAND TRACKER'!$I$5:$I$204)-ROW('⚡ COMMAND TRACKER'!$I$5)+1,0),"")),"")</f>
        <v/>
      </c>
      <c r="C44" s="27" t="str">
        <f aca="false">IFERROR(INDEX('⚡ COMMAND TRACKER'!$B$5:$B$204,IFERROR(MATCH(SMALL(IF('⚡ COMMAND TRACKER'!$I$5:$I$204="Booked Meeting",ROW('⚡ COMMAND TRACKER'!$I$5:$I$204)-ROW('⚡ COMMAND TRACKER'!$I$5)+1),41),ROW('⚡ COMMAND TRACKER'!$I$5:$I$204)-ROW('⚡ COMMAND TRACKER'!$I$5)+1,0),"")),"")</f>
        <v/>
      </c>
      <c r="D44" s="18" t="str">
        <f aca="false">IFERROR(INDEX('⚡ COMMAND TRACKER'!$H$5:$H$204,IFERROR(MATCH(SMALL(IF('⚡ COMMAND TRACKER'!$I$5:$I$204="Booked Meeting",ROW('⚡ COMMAND TRACKER'!$I$5:$I$204)-ROW('⚡ COMMAND TRACKER'!$I$5)+1),41),ROW('⚡ COMMAND TRACKER'!$I$5:$I$204)-ROW('⚡ COMMAND TRACKER'!$I$5)+1,0),"")),"")</f>
        <v/>
      </c>
      <c r="E44" s="18" t="str">
        <f aca="false">IFERROR(INDEX('⚡ COMMAND TRACKER'!$V$5:$V$204,IFERROR(MATCH(SMALL(IF('⚡ COMMAND TRACKER'!$I$5:$I$204="Booked Meeting",ROW('⚡ COMMAND TRACKER'!$I$5:$I$204)-ROW('⚡ COMMAND TRACKER'!$I$5)+1),41),ROW('⚡ COMMAND TRACKER'!$I$5:$I$204)-ROW('⚡ COMMAND TRACKER'!$I$5)+1,0),"")),"")</f>
        <v/>
      </c>
      <c r="F44" s="28" t="str">
        <f aca="false">IFERROR(INDEX('⚡ COMMAND TRACKER'!$Y$5:$Y$204,IFERROR(MATCH(SMALL(IF('⚡ COMMAND TRACKER'!$I$5:$I$204="Booked Meeting",ROW('⚡ COMMAND TRACKER'!$I$5:$I$204)-ROW('⚡ COMMAND TRACKER'!$I$5)+1),41),ROW('⚡ COMMAND TRACKER'!$I$5:$I$204)-ROW('⚡ COMMAND TRACKER'!$I$5)+1,0),"")),"")</f>
        <v/>
      </c>
      <c r="G44" s="18" t="str">
        <f aca="false">IFERROR(INDEX('⚡ COMMAND TRACKER'!$Z$5:$Z$204,IFERROR(MATCH(SMALL(IF('⚡ COMMAND TRACKER'!$I$5:$I$204="Booked Meeting",ROW('⚡ COMMAND TRACKER'!$I$5:$I$204)-ROW('⚡ COMMAND TRACKER'!$I$5)+1),41),ROW('⚡ COMMAND TRACKER'!$I$5:$I$204)-ROW('⚡ COMMAND TRACKER'!$I$5)+1,0),"")),"")</f>
        <v/>
      </c>
      <c r="H44" s="17" t="str">
        <f aca="false">IFERROR(INDEX('⚡ COMMAND TRACKER'!$M$5:$M$204,IFERROR(MATCH(SMALL(IF('⚡ COMMAND TRACKER'!$I$5:$I$204="Booked Meeting",ROW('⚡ COMMAND TRACKER'!$I$5:$I$204)-ROW('⚡ COMMAND TRACKER'!$I$5)+1),41),ROW('⚡ COMMAND TRACKER'!$I$5:$I$204)-ROW('⚡ COMMAND TRACKER'!$I$5)+1,0),"")),"")</f>
        <v/>
      </c>
      <c r="I44" s="21" t="str">
        <f aca="false">IFERROR(INDEX('⚡ COMMAND TRACKER'!$AC$5:$AC$204,IFERROR(MATCH(SMALL(IF('⚡ COMMAND TRACKER'!$I$5:$I$204="Booked Meeting",ROW('⚡ COMMAND TRACKER'!$I$5:$I$204)-ROW('⚡ COMMAND TRACKER'!$I$5)+1),41),ROW('⚡ COMMAND TRACKER'!$I$5:$I$204)-ROW('⚡ COMMAND TRACKER'!$I$5)+1,0),"")),"")</f>
        <v/>
      </c>
      <c r="J44" s="17" t="str">
        <f aca="false">IFERROR(INDEX('⚡ COMMAND TRACKER'!$AE$5:$AE$204,IFERROR(MATCH(SMALL(IF('⚡ COMMAND TRACKER'!$I$5:$I$204="Booked Meeting",ROW('⚡ COMMAND TRACKER'!$I$5:$I$204)-ROW('⚡ COMMAND TRACKER'!$I$5)+1),41),ROW('⚡ COMMAND TRACKER'!$I$5:$I$204)-ROW('⚡ COMMAND TRACKER'!$I$5)+1,0),"")),"")</f>
        <v/>
      </c>
    </row>
    <row r="45" customFormat="false" ht="19.5" hidden="false" customHeight="true" outlineLevel="0" collapsed="false">
      <c r="A45" s="10" t="str">
        <f aca="false">IFERROR(INDEX('⚡ COMMAND TRACKER'!$A$5:$A$204,IFERROR(MATCH(SMALL(IF('⚡ COMMAND TRACKER'!$I$5:$I$204="Booked Meeting",ROW('⚡ COMMAND TRACKER'!$I$5:$I$204)-ROW('⚡ COMMAND TRACKER'!$I$5)+1),42),ROW('⚡ COMMAND TRACKER'!$I$5:$I$204)-ROW('⚡ COMMAND TRACKER'!$I$5)+1,0),"")),"")</f>
        <v/>
      </c>
      <c r="B45" s="10" t="str">
        <f aca="false">IFERROR(INDEX('⚡ COMMAND TRACKER'!$E$5:$E$204,IFERROR(MATCH(SMALL(IF('⚡ COMMAND TRACKER'!$I$5:$I$204="Booked Meeting",ROW('⚡ COMMAND TRACKER'!$I$5:$I$204)-ROW('⚡ COMMAND TRACKER'!$I$5)+1),42),ROW('⚡ COMMAND TRACKER'!$I$5:$I$204)-ROW('⚡ COMMAND TRACKER'!$I$5)+1,0),"")),"")</f>
        <v/>
      </c>
      <c r="C45" s="30" t="str">
        <f aca="false">IFERROR(INDEX('⚡ COMMAND TRACKER'!$B$5:$B$204,IFERROR(MATCH(SMALL(IF('⚡ COMMAND TRACKER'!$I$5:$I$204="Booked Meeting",ROW('⚡ COMMAND TRACKER'!$I$5:$I$204)-ROW('⚡ COMMAND TRACKER'!$I$5)+1),42),ROW('⚡ COMMAND TRACKER'!$I$5:$I$204)-ROW('⚡ COMMAND TRACKER'!$I$5)+1,0),"")),"")</f>
        <v/>
      </c>
      <c r="D45" s="11" t="str">
        <f aca="false">IFERROR(INDEX('⚡ COMMAND TRACKER'!$H$5:$H$204,IFERROR(MATCH(SMALL(IF('⚡ COMMAND TRACKER'!$I$5:$I$204="Booked Meeting",ROW('⚡ COMMAND TRACKER'!$I$5:$I$204)-ROW('⚡ COMMAND TRACKER'!$I$5)+1),42),ROW('⚡ COMMAND TRACKER'!$I$5:$I$204)-ROW('⚡ COMMAND TRACKER'!$I$5)+1,0),"")),"")</f>
        <v/>
      </c>
      <c r="E45" s="11" t="str">
        <f aca="false">IFERROR(INDEX('⚡ COMMAND TRACKER'!$V$5:$V$204,IFERROR(MATCH(SMALL(IF('⚡ COMMAND TRACKER'!$I$5:$I$204="Booked Meeting",ROW('⚡ COMMAND TRACKER'!$I$5:$I$204)-ROW('⚡ COMMAND TRACKER'!$I$5)+1),42),ROW('⚡ COMMAND TRACKER'!$I$5:$I$204)-ROW('⚡ COMMAND TRACKER'!$I$5)+1,0),"")),"")</f>
        <v/>
      </c>
      <c r="F45" s="31" t="str">
        <f aca="false">IFERROR(INDEX('⚡ COMMAND TRACKER'!$Y$5:$Y$204,IFERROR(MATCH(SMALL(IF('⚡ COMMAND TRACKER'!$I$5:$I$204="Booked Meeting",ROW('⚡ COMMAND TRACKER'!$I$5:$I$204)-ROW('⚡ COMMAND TRACKER'!$I$5)+1),42),ROW('⚡ COMMAND TRACKER'!$I$5:$I$204)-ROW('⚡ COMMAND TRACKER'!$I$5)+1,0),"")),"")</f>
        <v/>
      </c>
      <c r="G45" s="11" t="str">
        <f aca="false">IFERROR(INDEX('⚡ COMMAND TRACKER'!$Z$5:$Z$204,IFERROR(MATCH(SMALL(IF('⚡ COMMAND TRACKER'!$I$5:$I$204="Booked Meeting",ROW('⚡ COMMAND TRACKER'!$I$5:$I$204)-ROW('⚡ COMMAND TRACKER'!$I$5)+1),42),ROW('⚡ COMMAND TRACKER'!$I$5:$I$204)-ROW('⚡ COMMAND TRACKER'!$I$5)+1,0),"")),"")</f>
        <v/>
      </c>
      <c r="H45" s="10" t="str">
        <f aca="false">IFERROR(INDEX('⚡ COMMAND TRACKER'!$M$5:$M$204,IFERROR(MATCH(SMALL(IF('⚡ COMMAND TRACKER'!$I$5:$I$204="Booked Meeting",ROW('⚡ COMMAND TRACKER'!$I$5:$I$204)-ROW('⚡ COMMAND TRACKER'!$I$5)+1),42),ROW('⚡ COMMAND TRACKER'!$I$5:$I$204)-ROW('⚡ COMMAND TRACKER'!$I$5)+1,0),"")),"")</f>
        <v/>
      </c>
      <c r="I45" s="14" t="str">
        <f aca="false">IFERROR(INDEX('⚡ COMMAND TRACKER'!$AC$5:$AC$204,IFERROR(MATCH(SMALL(IF('⚡ COMMAND TRACKER'!$I$5:$I$204="Booked Meeting",ROW('⚡ COMMAND TRACKER'!$I$5:$I$204)-ROW('⚡ COMMAND TRACKER'!$I$5)+1),42),ROW('⚡ COMMAND TRACKER'!$I$5:$I$204)-ROW('⚡ COMMAND TRACKER'!$I$5)+1,0),"")),"")</f>
        <v/>
      </c>
      <c r="J45" s="10" t="str">
        <f aca="false">IFERROR(INDEX('⚡ COMMAND TRACKER'!$AE$5:$AE$204,IFERROR(MATCH(SMALL(IF('⚡ COMMAND TRACKER'!$I$5:$I$204="Booked Meeting",ROW('⚡ COMMAND TRACKER'!$I$5:$I$204)-ROW('⚡ COMMAND TRACKER'!$I$5)+1),42),ROW('⚡ COMMAND TRACKER'!$I$5:$I$204)-ROW('⚡ COMMAND TRACKER'!$I$5)+1,0),"")),"")</f>
        <v/>
      </c>
    </row>
    <row r="46" customFormat="false" ht="19.5" hidden="false" customHeight="true" outlineLevel="0" collapsed="false">
      <c r="A46" s="17" t="str">
        <f aca="false">IFERROR(INDEX('⚡ COMMAND TRACKER'!$A$5:$A$204,IFERROR(MATCH(SMALL(IF('⚡ COMMAND TRACKER'!$I$5:$I$204="Booked Meeting",ROW('⚡ COMMAND TRACKER'!$I$5:$I$204)-ROW('⚡ COMMAND TRACKER'!$I$5)+1),43),ROW('⚡ COMMAND TRACKER'!$I$5:$I$204)-ROW('⚡ COMMAND TRACKER'!$I$5)+1,0),"")),"")</f>
        <v/>
      </c>
      <c r="B46" s="17" t="str">
        <f aca="false">IFERROR(INDEX('⚡ COMMAND TRACKER'!$E$5:$E$204,IFERROR(MATCH(SMALL(IF('⚡ COMMAND TRACKER'!$I$5:$I$204="Booked Meeting",ROW('⚡ COMMAND TRACKER'!$I$5:$I$204)-ROW('⚡ COMMAND TRACKER'!$I$5)+1),43),ROW('⚡ COMMAND TRACKER'!$I$5:$I$204)-ROW('⚡ COMMAND TRACKER'!$I$5)+1,0),"")),"")</f>
        <v/>
      </c>
      <c r="C46" s="27" t="str">
        <f aca="false">IFERROR(INDEX('⚡ COMMAND TRACKER'!$B$5:$B$204,IFERROR(MATCH(SMALL(IF('⚡ COMMAND TRACKER'!$I$5:$I$204="Booked Meeting",ROW('⚡ COMMAND TRACKER'!$I$5:$I$204)-ROW('⚡ COMMAND TRACKER'!$I$5)+1),43),ROW('⚡ COMMAND TRACKER'!$I$5:$I$204)-ROW('⚡ COMMAND TRACKER'!$I$5)+1,0),"")),"")</f>
        <v/>
      </c>
      <c r="D46" s="18" t="str">
        <f aca="false">IFERROR(INDEX('⚡ COMMAND TRACKER'!$H$5:$H$204,IFERROR(MATCH(SMALL(IF('⚡ COMMAND TRACKER'!$I$5:$I$204="Booked Meeting",ROW('⚡ COMMAND TRACKER'!$I$5:$I$204)-ROW('⚡ COMMAND TRACKER'!$I$5)+1),43),ROW('⚡ COMMAND TRACKER'!$I$5:$I$204)-ROW('⚡ COMMAND TRACKER'!$I$5)+1,0),"")),"")</f>
        <v/>
      </c>
      <c r="E46" s="18" t="str">
        <f aca="false">IFERROR(INDEX('⚡ COMMAND TRACKER'!$V$5:$V$204,IFERROR(MATCH(SMALL(IF('⚡ COMMAND TRACKER'!$I$5:$I$204="Booked Meeting",ROW('⚡ COMMAND TRACKER'!$I$5:$I$204)-ROW('⚡ COMMAND TRACKER'!$I$5)+1),43),ROW('⚡ COMMAND TRACKER'!$I$5:$I$204)-ROW('⚡ COMMAND TRACKER'!$I$5)+1,0),"")),"")</f>
        <v/>
      </c>
      <c r="F46" s="28" t="str">
        <f aca="false">IFERROR(INDEX('⚡ COMMAND TRACKER'!$Y$5:$Y$204,IFERROR(MATCH(SMALL(IF('⚡ COMMAND TRACKER'!$I$5:$I$204="Booked Meeting",ROW('⚡ COMMAND TRACKER'!$I$5:$I$204)-ROW('⚡ COMMAND TRACKER'!$I$5)+1),43),ROW('⚡ COMMAND TRACKER'!$I$5:$I$204)-ROW('⚡ COMMAND TRACKER'!$I$5)+1,0),"")),"")</f>
        <v/>
      </c>
      <c r="G46" s="18" t="str">
        <f aca="false">IFERROR(INDEX('⚡ COMMAND TRACKER'!$Z$5:$Z$204,IFERROR(MATCH(SMALL(IF('⚡ COMMAND TRACKER'!$I$5:$I$204="Booked Meeting",ROW('⚡ COMMAND TRACKER'!$I$5:$I$204)-ROW('⚡ COMMAND TRACKER'!$I$5)+1),43),ROW('⚡ COMMAND TRACKER'!$I$5:$I$204)-ROW('⚡ COMMAND TRACKER'!$I$5)+1,0),"")),"")</f>
        <v/>
      </c>
      <c r="H46" s="17" t="str">
        <f aca="false">IFERROR(INDEX('⚡ COMMAND TRACKER'!$M$5:$M$204,IFERROR(MATCH(SMALL(IF('⚡ COMMAND TRACKER'!$I$5:$I$204="Booked Meeting",ROW('⚡ COMMAND TRACKER'!$I$5:$I$204)-ROW('⚡ COMMAND TRACKER'!$I$5)+1),43),ROW('⚡ COMMAND TRACKER'!$I$5:$I$204)-ROW('⚡ COMMAND TRACKER'!$I$5)+1,0),"")),"")</f>
        <v/>
      </c>
      <c r="I46" s="21" t="str">
        <f aca="false">IFERROR(INDEX('⚡ COMMAND TRACKER'!$AC$5:$AC$204,IFERROR(MATCH(SMALL(IF('⚡ COMMAND TRACKER'!$I$5:$I$204="Booked Meeting",ROW('⚡ COMMAND TRACKER'!$I$5:$I$204)-ROW('⚡ COMMAND TRACKER'!$I$5)+1),43),ROW('⚡ COMMAND TRACKER'!$I$5:$I$204)-ROW('⚡ COMMAND TRACKER'!$I$5)+1,0),"")),"")</f>
        <v/>
      </c>
      <c r="J46" s="17" t="str">
        <f aca="false">IFERROR(INDEX('⚡ COMMAND TRACKER'!$AE$5:$AE$204,IFERROR(MATCH(SMALL(IF('⚡ COMMAND TRACKER'!$I$5:$I$204="Booked Meeting",ROW('⚡ COMMAND TRACKER'!$I$5:$I$204)-ROW('⚡ COMMAND TRACKER'!$I$5)+1),43),ROW('⚡ COMMAND TRACKER'!$I$5:$I$204)-ROW('⚡ COMMAND TRACKER'!$I$5)+1,0),"")),"")</f>
        <v/>
      </c>
    </row>
    <row r="47" customFormat="false" ht="19.5" hidden="false" customHeight="true" outlineLevel="0" collapsed="false">
      <c r="A47" s="10" t="str">
        <f aca="false">IFERROR(INDEX('⚡ COMMAND TRACKER'!$A$5:$A$204,IFERROR(MATCH(SMALL(IF('⚡ COMMAND TRACKER'!$I$5:$I$204="Booked Meeting",ROW('⚡ COMMAND TRACKER'!$I$5:$I$204)-ROW('⚡ COMMAND TRACKER'!$I$5)+1),44),ROW('⚡ COMMAND TRACKER'!$I$5:$I$204)-ROW('⚡ COMMAND TRACKER'!$I$5)+1,0),"")),"")</f>
        <v/>
      </c>
      <c r="B47" s="10" t="str">
        <f aca="false">IFERROR(INDEX('⚡ COMMAND TRACKER'!$E$5:$E$204,IFERROR(MATCH(SMALL(IF('⚡ COMMAND TRACKER'!$I$5:$I$204="Booked Meeting",ROW('⚡ COMMAND TRACKER'!$I$5:$I$204)-ROW('⚡ COMMAND TRACKER'!$I$5)+1),44),ROW('⚡ COMMAND TRACKER'!$I$5:$I$204)-ROW('⚡ COMMAND TRACKER'!$I$5)+1,0),"")),"")</f>
        <v/>
      </c>
      <c r="C47" s="30" t="str">
        <f aca="false">IFERROR(INDEX('⚡ COMMAND TRACKER'!$B$5:$B$204,IFERROR(MATCH(SMALL(IF('⚡ COMMAND TRACKER'!$I$5:$I$204="Booked Meeting",ROW('⚡ COMMAND TRACKER'!$I$5:$I$204)-ROW('⚡ COMMAND TRACKER'!$I$5)+1),44),ROW('⚡ COMMAND TRACKER'!$I$5:$I$204)-ROW('⚡ COMMAND TRACKER'!$I$5)+1,0),"")),"")</f>
        <v/>
      </c>
      <c r="D47" s="11" t="str">
        <f aca="false">IFERROR(INDEX('⚡ COMMAND TRACKER'!$H$5:$H$204,IFERROR(MATCH(SMALL(IF('⚡ COMMAND TRACKER'!$I$5:$I$204="Booked Meeting",ROW('⚡ COMMAND TRACKER'!$I$5:$I$204)-ROW('⚡ COMMAND TRACKER'!$I$5)+1),44),ROW('⚡ COMMAND TRACKER'!$I$5:$I$204)-ROW('⚡ COMMAND TRACKER'!$I$5)+1,0),"")),"")</f>
        <v/>
      </c>
      <c r="E47" s="11" t="str">
        <f aca="false">IFERROR(INDEX('⚡ COMMAND TRACKER'!$V$5:$V$204,IFERROR(MATCH(SMALL(IF('⚡ COMMAND TRACKER'!$I$5:$I$204="Booked Meeting",ROW('⚡ COMMAND TRACKER'!$I$5:$I$204)-ROW('⚡ COMMAND TRACKER'!$I$5)+1),44),ROW('⚡ COMMAND TRACKER'!$I$5:$I$204)-ROW('⚡ COMMAND TRACKER'!$I$5)+1,0),"")),"")</f>
        <v/>
      </c>
      <c r="F47" s="31" t="str">
        <f aca="false">IFERROR(INDEX('⚡ COMMAND TRACKER'!$Y$5:$Y$204,IFERROR(MATCH(SMALL(IF('⚡ COMMAND TRACKER'!$I$5:$I$204="Booked Meeting",ROW('⚡ COMMAND TRACKER'!$I$5:$I$204)-ROW('⚡ COMMAND TRACKER'!$I$5)+1),44),ROW('⚡ COMMAND TRACKER'!$I$5:$I$204)-ROW('⚡ COMMAND TRACKER'!$I$5)+1,0),"")),"")</f>
        <v/>
      </c>
      <c r="G47" s="11" t="str">
        <f aca="false">IFERROR(INDEX('⚡ COMMAND TRACKER'!$Z$5:$Z$204,IFERROR(MATCH(SMALL(IF('⚡ COMMAND TRACKER'!$I$5:$I$204="Booked Meeting",ROW('⚡ COMMAND TRACKER'!$I$5:$I$204)-ROW('⚡ COMMAND TRACKER'!$I$5)+1),44),ROW('⚡ COMMAND TRACKER'!$I$5:$I$204)-ROW('⚡ COMMAND TRACKER'!$I$5)+1,0),"")),"")</f>
        <v/>
      </c>
      <c r="H47" s="10" t="str">
        <f aca="false">IFERROR(INDEX('⚡ COMMAND TRACKER'!$M$5:$M$204,IFERROR(MATCH(SMALL(IF('⚡ COMMAND TRACKER'!$I$5:$I$204="Booked Meeting",ROW('⚡ COMMAND TRACKER'!$I$5:$I$204)-ROW('⚡ COMMAND TRACKER'!$I$5)+1),44),ROW('⚡ COMMAND TRACKER'!$I$5:$I$204)-ROW('⚡ COMMAND TRACKER'!$I$5)+1,0),"")),"")</f>
        <v/>
      </c>
      <c r="I47" s="14" t="str">
        <f aca="false">IFERROR(INDEX('⚡ COMMAND TRACKER'!$AC$5:$AC$204,IFERROR(MATCH(SMALL(IF('⚡ COMMAND TRACKER'!$I$5:$I$204="Booked Meeting",ROW('⚡ COMMAND TRACKER'!$I$5:$I$204)-ROW('⚡ COMMAND TRACKER'!$I$5)+1),44),ROW('⚡ COMMAND TRACKER'!$I$5:$I$204)-ROW('⚡ COMMAND TRACKER'!$I$5)+1,0),"")),"")</f>
        <v/>
      </c>
      <c r="J47" s="10" t="str">
        <f aca="false">IFERROR(INDEX('⚡ COMMAND TRACKER'!$AE$5:$AE$204,IFERROR(MATCH(SMALL(IF('⚡ COMMAND TRACKER'!$I$5:$I$204="Booked Meeting",ROW('⚡ COMMAND TRACKER'!$I$5:$I$204)-ROW('⚡ COMMAND TRACKER'!$I$5)+1),44),ROW('⚡ COMMAND TRACKER'!$I$5:$I$204)-ROW('⚡ COMMAND TRACKER'!$I$5)+1,0),"")),"")</f>
        <v/>
      </c>
    </row>
    <row r="48" customFormat="false" ht="19.5" hidden="false" customHeight="true" outlineLevel="0" collapsed="false">
      <c r="A48" s="17" t="str">
        <f aca="false">IFERROR(INDEX('⚡ COMMAND TRACKER'!$A$5:$A$204,IFERROR(MATCH(SMALL(IF('⚡ COMMAND TRACKER'!$I$5:$I$204="Booked Meeting",ROW('⚡ COMMAND TRACKER'!$I$5:$I$204)-ROW('⚡ COMMAND TRACKER'!$I$5)+1),45),ROW('⚡ COMMAND TRACKER'!$I$5:$I$204)-ROW('⚡ COMMAND TRACKER'!$I$5)+1,0),"")),"")</f>
        <v/>
      </c>
      <c r="B48" s="17" t="str">
        <f aca="false">IFERROR(INDEX('⚡ COMMAND TRACKER'!$E$5:$E$204,IFERROR(MATCH(SMALL(IF('⚡ COMMAND TRACKER'!$I$5:$I$204="Booked Meeting",ROW('⚡ COMMAND TRACKER'!$I$5:$I$204)-ROW('⚡ COMMAND TRACKER'!$I$5)+1),45),ROW('⚡ COMMAND TRACKER'!$I$5:$I$204)-ROW('⚡ COMMAND TRACKER'!$I$5)+1,0),"")),"")</f>
        <v/>
      </c>
      <c r="C48" s="27" t="str">
        <f aca="false">IFERROR(INDEX('⚡ COMMAND TRACKER'!$B$5:$B$204,IFERROR(MATCH(SMALL(IF('⚡ COMMAND TRACKER'!$I$5:$I$204="Booked Meeting",ROW('⚡ COMMAND TRACKER'!$I$5:$I$204)-ROW('⚡ COMMAND TRACKER'!$I$5)+1),45),ROW('⚡ COMMAND TRACKER'!$I$5:$I$204)-ROW('⚡ COMMAND TRACKER'!$I$5)+1,0),"")),"")</f>
        <v/>
      </c>
      <c r="D48" s="18" t="str">
        <f aca="false">IFERROR(INDEX('⚡ COMMAND TRACKER'!$H$5:$H$204,IFERROR(MATCH(SMALL(IF('⚡ COMMAND TRACKER'!$I$5:$I$204="Booked Meeting",ROW('⚡ COMMAND TRACKER'!$I$5:$I$204)-ROW('⚡ COMMAND TRACKER'!$I$5)+1),45),ROW('⚡ COMMAND TRACKER'!$I$5:$I$204)-ROW('⚡ COMMAND TRACKER'!$I$5)+1,0),"")),"")</f>
        <v/>
      </c>
      <c r="E48" s="18" t="str">
        <f aca="false">IFERROR(INDEX('⚡ COMMAND TRACKER'!$V$5:$V$204,IFERROR(MATCH(SMALL(IF('⚡ COMMAND TRACKER'!$I$5:$I$204="Booked Meeting",ROW('⚡ COMMAND TRACKER'!$I$5:$I$204)-ROW('⚡ COMMAND TRACKER'!$I$5)+1),45),ROW('⚡ COMMAND TRACKER'!$I$5:$I$204)-ROW('⚡ COMMAND TRACKER'!$I$5)+1,0),"")),"")</f>
        <v/>
      </c>
      <c r="F48" s="28" t="str">
        <f aca="false">IFERROR(INDEX('⚡ COMMAND TRACKER'!$Y$5:$Y$204,IFERROR(MATCH(SMALL(IF('⚡ COMMAND TRACKER'!$I$5:$I$204="Booked Meeting",ROW('⚡ COMMAND TRACKER'!$I$5:$I$204)-ROW('⚡ COMMAND TRACKER'!$I$5)+1),45),ROW('⚡ COMMAND TRACKER'!$I$5:$I$204)-ROW('⚡ COMMAND TRACKER'!$I$5)+1,0),"")),"")</f>
        <v/>
      </c>
      <c r="G48" s="18" t="str">
        <f aca="false">IFERROR(INDEX('⚡ COMMAND TRACKER'!$Z$5:$Z$204,IFERROR(MATCH(SMALL(IF('⚡ COMMAND TRACKER'!$I$5:$I$204="Booked Meeting",ROW('⚡ COMMAND TRACKER'!$I$5:$I$204)-ROW('⚡ COMMAND TRACKER'!$I$5)+1),45),ROW('⚡ COMMAND TRACKER'!$I$5:$I$204)-ROW('⚡ COMMAND TRACKER'!$I$5)+1,0),"")),"")</f>
        <v/>
      </c>
      <c r="H48" s="17" t="str">
        <f aca="false">IFERROR(INDEX('⚡ COMMAND TRACKER'!$M$5:$M$204,IFERROR(MATCH(SMALL(IF('⚡ COMMAND TRACKER'!$I$5:$I$204="Booked Meeting",ROW('⚡ COMMAND TRACKER'!$I$5:$I$204)-ROW('⚡ COMMAND TRACKER'!$I$5)+1),45),ROW('⚡ COMMAND TRACKER'!$I$5:$I$204)-ROW('⚡ COMMAND TRACKER'!$I$5)+1,0),"")),"")</f>
        <v/>
      </c>
      <c r="I48" s="21" t="str">
        <f aca="false">IFERROR(INDEX('⚡ COMMAND TRACKER'!$AC$5:$AC$204,IFERROR(MATCH(SMALL(IF('⚡ COMMAND TRACKER'!$I$5:$I$204="Booked Meeting",ROW('⚡ COMMAND TRACKER'!$I$5:$I$204)-ROW('⚡ COMMAND TRACKER'!$I$5)+1),45),ROW('⚡ COMMAND TRACKER'!$I$5:$I$204)-ROW('⚡ COMMAND TRACKER'!$I$5)+1,0),"")),"")</f>
        <v/>
      </c>
      <c r="J48" s="17" t="str">
        <f aca="false">IFERROR(INDEX('⚡ COMMAND TRACKER'!$AE$5:$AE$204,IFERROR(MATCH(SMALL(IF('⚡ COMMAND TRACKER'!$I$5:$I$204="Booked Meeting",ROW('⚡ COMMAND TRACKER'!$I$5:$I$204)-ROW('⚡ COMMAND TRACKER'!$I$5)+1),45),ROW('⚡ COMMAND TRACKER'!$I$5:$I$204)-ROW('⚡ COMMAND TRACKER'!$I$5)+1,0),"")),"")</f>
        <v/>
      </c>
    </row>
    <row r="49" customFormat="false" ht="19.5" hidden="false" customHeight="true" outlineLevel="0" collapsed="false">
      <c r="A49" s="10" t="str">
        <f aca="false">IFERROR(INDEX('⚡ COMMAND TRACKER'!$A$5:$A$204,IFERROR(MATCH(SMALL(IF('⚡ COMMAND TRACKER'!$I$5:$I$204="Booked Meeting",ROW('⚡ COMMAND TRACKER'!$I$5:$I$204)-ROW('⚡ COMMAND TRACKER'!$I$5)+1),46),ROW('⚡ COMMAND TRACKER'!$I$5:$I$204)-ROW('⚡ COMMAND TRACKER'!$I$5)+1,0),"")),"")</f>
        <v/>
      </c>
      <c r="B49" s="10" t="str">
        <f aca="false">IFERROR(INDEX('⚡ COMMAND TRACKER'!$E$5:$E$204,IFERROR(MATCH(SMALL(IF('⚡ COMMAND TRACKER'!$I$5:$I$204="Booked Meeting",ROW('⚡ COMMAND TRACKER'!$I$5:$I$204)-ROW('⚡ COMMAND TRACKER'!$I$5)+1),46),ROW('⚡ COMMAND TRACKER'!$I$5:$I$204)-ROW('⚡ COMMAND TRACKER'!$I$5)+1,0),"")),"")</f>
        <v/>
      </c>
      <c r="C49" s="30" t="str">
        <f aca="false">IFERROR(INDEX('⚡ COMMAND TRACKER'!$B$5:$B$204,IFERROR(MATCH(SMALL(IF('⚡ COMMAND TRACKER'!$I$5:$I$204="Booked Meeting",ROW('⚡ COMMAND TRACKER'!$I$5:$I$204)-ROW('⚡ COMMAND TRACKER'!$I$5)+1),46),ROW('⚡ COMMAND TRACKER'!$I$5:$I$204)-ROW('⚡ COMMAND TRACKER'!$I$5)+1,0),"")),"")</f>
        <v/>
      </c>
      <c r="D49" s="11" t="str">
        <f aca="false">IFERROR(INDEX('⚡ COMMAND TRACKER'!$H$5:$H$204,IFERROR(MATCH(SMALL(IF('⚡ COMMAND TRACKER'!$I$5:$I$204="Booked Meeting",ROW('⚡ COMMAND TRACKER'!$I$5:$I$204)-ROW('⚡ COMMAND TRACKER'!$I$5)+1),46),ROW('⚡ COMMAND TRACKER'!$I$5:$I$204)-ROW('⚡ COMMAND TRACKER'!$I$5)+1,0),"")),"")</f>
        <v/>
      </c>
      <c r="E49" s="11" t="str">
        <f aca="false">IFERROR(INDEX('⚡ COMMAND TRACKER'!$V$5:$V$204,IFERROR(MATCH(SMALL(IF('⚡ COMMAND TRACKER'!$I$5:$I$204="Booked Meeting",ROW('⚡ COMMAND TRACKER'!$I$5:$I$204)-ROW('⚡ COMMAND TRACKER'!$I$5)+1),46),ROW('⚡ COMMAND TRACKER'!$I$5:$I$204)-ROW('⚡ COMMAND TRACKER'!$I$5)+1,0),"")),"")</f>
        <v/>
      </c>
      <c r="F49" s="31" t="str">
        <f aca="false">IFERROR(INDEX('⚡ COMMAND TRACKER'!$Y$5:$Y$204,IFERROR(MATCH(SMALL(IF('⚡ COMMAND TRACKER'!$I$5:$I$204="Booked Meeting",ROW('⚡ COMMAND TRACKER'!$I$5:$I$204)-ROW('⚡ COMMAND TRACKER'!$I$5)+1),46),ROW('⚡ COMMAND TRACKER'!$I$5:$I$204)-ROW('⚡ COMMAND TRACKER'!$I$5)+1,0),"")),"")</f>
        <v/>
      </c>
      <c r="G49" s="11" t="str">
        <f aca="false">IFERROR(INDEX('⚡ COMMAND TRACKER'!$Z$5:$Z$204,IFERROR(MATCH(SMALL(IF('⚡ COMMAND TRACKER'!$I$5:$I$204="Booked Meeting",ROW('⚡ COMMAND TRACKER'!$I$5:$I$204)-ROW('⚡ COMMAND TRACKER'!$I$5)+1),46),ROW('⚡ COMMAND TRACKER'!$I$5:$I$204)-ROW('⚡ COMMAND TRACKER'!$I$5)+1,0),"")),"")</f>
        <v/>
      </c>
      <c r="H49" s="10" t="str">
        <f aca="false">IFERROR(INDEX('⚡ COMMAND TRACKER'!$M$5:$M$204,IFERROR(MATCH(SMALL(IF('⚡ COMMAND TRACKER'!$I$5:$I$204="Booked Meeting",ROW('⚡ COMMAND TRACKER'!$I$5:$I$204)-ROW('⚡ COMMAND TRACKER'!$I$5)+1),46),ROW('⚡ COMMAND TRACKER'!$I$5:$I$204)-ROW('⚡ COMMAND TRACKER'!$I$5)+1,0),"")),"")</f>
        <v/>
      </c>
      <c r="I49" s="14" t="str">
        <f aca="false">IFERROR(INDEX('⚡ COMMAND TRACKER'!$AC$5:$AC$204,IFERROR(MATCH(SMALL(IF('⚡ COMMAND TRACKER'!$I$5:$I$204="Booked Meeting",ROW('⚡ COMMAND TRACKER'!$I$5:$I$204)-ROW('⚡ COMMAND TRACKER'!$I$5)+1),46),ROW('⚡ COMMAND TRACKER'!$I$5:$I$204)-ROW('⚡ COMMAND TRACKER'!$I$5)+1,0),"")),"")</f>
        <v/>
      </c>
      <c r="J49" s="10" t="str">
        <f aca="false">IFERROR(INDEX('⚡ COMMAND TRACKER'!$AE$5:$AE$204,IFERROR(MATCH(SMALL(IF('⚡ COMMAND TRACKER'!$I$5:$I$204="Booked Meeting",ROW('⚡ COMMAND TRACKER'!$I$5:$I$204)-ROW('⚡ COMMAND TRACKER'!$I$5)+1),46),ROW('⚡ COMMAND TRACKER'!$I$5:$I$204)-ROW('⚡ COMMAND TRACKER'!$I$5)+1,0),"")),"")</f>
        <v/>
      </c>
    </row>
    <row r="50" customFormat="false" ht="19.5" hidden="false" customHeight="true" outlineLevel="0" collapsed="false">
      <c r="A50" s="17" t="str">
        <f aca="false">IFERROR(INDEX('⚡ COMMAND TRACKER'!$A$5:$A$204,IFERROR(MATCH(SMALL(IF('⚡ COMMAND TRACKER'!$I$5:$I$204="Booked Meeting",ROW('⚡ COMMAND TRACKER'!$I$5:$I$204)-ROW('⚡ COMMAND TRACKER'!$I$5)+1),47),ROW('⚡ COMMAND TRACKER'!$I$5:$I$204)-ROW('⚡ COMMAND TRACKER'!$I$5)+1,0),"")),"")</f>
        <v/>
      </c>
      <c r="B50" s="17" t="str">
        <f aca="false">IFERROR(INDEX('⚡ COMMAND TRACKER'!$E$5:$E$204,IFERROR(MATCH(SMALL(IF('⚡ COMMAND TRACKER'!$I$5:$I$204="Booked Meeting",ROW('⚡ COMMAND TRACKER'!$I$5:$I$204)-ROW('⚡ COMMAND TRACKER'!$I$5)+1),47),ROW('⚡ COMMAND TRACKER'!$I$5:$I$204)-ROW('⚡ COMMAND TRACKER'!$I$5)+1,0),"")),"")</f>
        <v/>
      </c>
      <c r="C50" s="27" t="str">
        <f aca="false">IFERROR(INDEX('⚡ COMMAND TRACKER'!$B$5:$B$204,IFERROR(MATCH(SMALL(IF('⚡ COMMAND TRACKER'!$I$5:$I$204="Booked Meeting",ROW('⚡ COMMAND TRACKER'!$I$5:$I$204)-ROW('⚡ COMMAND TRACKER'!$I$5)+1),47),ROW('⚡ COMMAND TRACKER'!$I$5:$I$204)-ROW('⚡ COMMAND TRACKER'!$I$5)+1,0),"")),"")</f>
        <v/>
      </c>
      <c r="D50" s="18" t="str">
        <f aca="false">IFERROR(INDEX('⚡ COMMAND TRACKER'!$H$5:$H$204,IFERROR(MATCH(SMALL(IF('⚡ COMMAND TRACKER'!$I$5:$I$204="Booked Meeting",ROW('⚡ COMMAND TRACKER'!$I$5:$I$204)-ROW('⚡ COMMAND TRACKER'!$I$5)+1),47),ROW('⚡ COMMAND TRACKER'!$I$5:$I$204)-ROW('⚡ COMMAND TRACKER'!$I$5)+1,0),"")),"")</f>
        <v/>
      </c>
      <c r="E50" s="18" t="str">
        <f aca="false">IFERROR(INDEX('⚡ COMMAND TRACKER'!$V$5:$V$204,IFERROR(MATCH(SMALL(IF('⚡ COMMAND TRACKER'!$I$5:$I$204="Booked Meeting",ROW('⚡ COMMAND TRACKER'!$I$5:$I$204)-ROW('⚡ COMMAND TRACKER'!$I$5)+1),47),ROW('⚡ COMMAND TRACKER'!$I$5:$I$204)-ROW('⚡ COMMAND TRACKER'!$I$5)+1,0),"")),"")</f>
        <v/>
      </c>
      <c r="F50" s="28" t="str">
        <f aca="false">IFERROR(INDEX('⚡ COMMAND TRACKER'!$Y$5:$Y$204,IFERROR(MATCH(SMALL(IF('⚡ COMMAND TRACKER'!$I$5:$I$204="Booked Meeting",ROW('⚡ COMMAND TRACKER'!$I$5:$I$204)-ROW('⚡ COMMAND TRACKER'!$I$5)+1),47),ROW('⚡ COMMAND TRACKER'!$I$5:$I$204)-ROW('⚡ COMMAND TRACKER'!$I$5)+1,0),"")),"")</f>
        <v/>
      </c>
      <c r="G50" s="18" t="str">
        <f aca="false">IFERROR(INDEX('⚡ COMMAND TRACKER'!$Z$5:$Z$204,IFERROR(MATCH(SMALL(IF('⚡ COMMAND TRACKER'!$I$5:$I$204="Booked Meeting",ROW('⚡ COMMAND TRACKER'!$I$5:$I$204)-ROW('⚡ COMMAND TRACKER'!$I$5)+1),47),ROW('⚡ COMMAND TRACKER'!$I$5:$I$204)-ROW('⚡ COMMAND TRACKER'!$I$5)+1,0),"")),"")</f>
        <v/>
      </c>
      <c r="H50" s="17" t="str">
        <f aca="false">IFERROR(INDEX('⚡ COMMAND TRACKER'!$M$5:$M$204,IFERROR(MATCH(SMALL(IF('⚡ COMMAND TRACKER'!$I$5:$I$204="Booked Meeting",ROW('⚡ COMMAND TRACKER'!$I$5:$I$204)-ROW('⚡ COMMAND TRACKER'!$I$5)+1),47),ROW('⚡ COMMAND TRACKER'!$I$5:$I$204)-ROW('⚡ COMMAND TRACKER'!$I$5)+1,0),"")),"")</f>
        <v/>
      </c>
      <c r="I50" s="21" t="str">
        <f aca="false">IFERROR(INDEX('⚡ COMMAND TRACKER'!$AC$5:$AC$204,IFERROR(MATCH(SMALL(IF('⚡ COMMAND TRACKER'!$I$5:$I$204="Booked Meeting",ROW('⚡ COMMAND TRACKER'!$I$5:$I$204)-ROW('⚡ COMMAND TRACKER'!$I$5)+1),47),ROW('⚡ COMMAND TRACKER'!$I$5:$I$204)-ROW('⚡ COMMAND TRACKER'!$I$5)+1,0),"")),"")</f>
        <v/>
      </c>
      <c r="J50" s="17" t="str">
        <f aca="false">IFERROR(INDEX('⚡ COMMAND TRACKER'!$AE$5:$AE$204,IFERROR(MATCH(SMALL(IF('⚡ COMMAND TRACKER'!$I$5:$I$204="Booked Meeting",ROW('⚡ COMMAND TRACKER'!$I$5:$I$204)-ROW('⚡ COMMAND TRACKER'!$I$5)+1),47),ROW('⚡ COMMAND TRACKER'!$I$5:$I$204)-ROW('⚡ COMMAND TRACKER'!$I$5)+1,0),"")),"")</f>
        <v/>
      </c>
    </row>
    <row r="51" customFormat="false" ht="19.5" hidden="false" customHeight="true" outlineLevel="0" collapsed="false">
      <c r="A51" s="10" t="str">
        <f aca="false">IFERROR(INDEX('⚡ COMMAND TRACKER'!$A$5:$A$204,IFERROR(MATCH(SMALL(IF('⚡ COMMAND TRACKER'!$I$5:$I$204="Booked Meeting",ROW('⚡ COMMAND TRACKER'!$I$5:$I$204)-ROW('⚡ COMMAND TRACKER'!$I$5)+1),48),ROW('⚡ COMMAND TRACKER'!$I$5:$I$204)-ROW('⚡ COMMAND TRACKER'!$I$5)+1,0),"")),"")</f>
        <v/>
      </c>
      <c r="B51" s="10" t="str">
        <f aca="false">IFERROR(INDEX('⚡ COMMAND TRACKER'!$E$5:$E$204,IFERROR(MATCH(SMALL(IF('⚡ COMMAND TRACKER'!$I$5:$I$204="Booked Meeting",ROW('⚡ COMMAND TRACKER'!$I$5:$I$204)-ROW('⚡ COMMAND TRACKER'!$I$5)+1),48),ROW('⚡ COMMAND TRACKER'!$I$5:$I$204)-ROW('⚡ COMMAND TRACKER'!$I$5)+1,0),"")),"")</f>
        <v/>
      </c>
      <c r="C51" s="30" t="str">
        <f aca="false">IFERROR(INDEX('⚡ COMMAND TRACKER'!$B$5:$B$204,IFERROR(MATCH(SMALL(IF('⚡ COMMAND TRACKER'!$I$5:$I$204="Booked Meeting",ROW('⚡ COMMAND TRACKER'!$I$5:$I$204)-ROW('⚡ COMMAND TRACKER'!$I$5)+1),48),ROW('⚡ COMMAND TRACKER'!$I$5:$I$204)-ROW('⚡ COMMAND TRACKER'!$I$5)+1,0),"")),"")</f>
        <v/>
      </c>
      <c r="D51" s="11" t="str">
        <f aca="false">IFERROR(INDEX('⚡ COMMAND TRACKER'!$H$5:$H$204,IFERROR(MATCH(SMALL(IF('⚡ COMMAND TRACKER'!$I$5:$I$204="Booked Meeting",ROW('⚡ COMMAND TRACKER'!$I$5:$I$204)-ROW('⚡ COMMAND TRACKER'!$I$5)+1),48),ROW('⚡ COMMAND TRACKER'!$I$5:$I$204)-ROW('⚡ COMMAND TRACKER'!$I$5)+1,0),"")),"")</f>
        <v/>
      </c>
      <c r="E51" s="11" t="str">
        <f aca="false">IFERROR(INDEX('⚡ COMMAND TRACKER'!$V$5:$V$204,IFERROR(MATCH(SMALL(IF('⚡ COMMAND TRACKER'!$I$5:$I$204="Booked Meeting",ROW('⚡ COMMAND TRACKER'!$I$5:$I$204)-ROW('⚡ COMMAND TRACKER'!$I$5)+1),48),ROW('⚡ COMMAND TRACKER'!$I$5:$I$204)-ROW('⚡ COMMAND TRACKER'!$I$5)+1,0),"")),"")</f>
        <v/>
      </c>
      <c r="F51" s="31" t="str">
        <f aca="false">IFERROR(INDEX('⚡ COMMAND TRACKER'!$Y$5:$Y$204,IFERROR(MATCH(SMALL(IF('⚡ COMMAND TRACKER'!$I$5:$I$204="Booked Meeting",ROW('⚡ COMMAND TRACKER'!$I$5:$I$204)-ROW('⚡ COMMAND TRACKER'!$I$5)+1),48),ROW('⚡ COMMAND TRACKER'!$I$5:$I$204)-ROW('⚡ COMMAND TRACKER'!$I$5)+1,0),"")),"")</f>
        <v/>
      </c>
      <c r="G51" s="11" t="str">
        <f aca="false">IFERROR(INDEX('⚡ COMMAND TRACKER'!$Z$5:$Z$204,IFERROR(MATCH(SMALL(IF('⚡ COMMAND TRACKER'!$I$5:$I$204="Booked Meeting",ROW('⚡ COMMAND TRACKER'!$I$5:$I$204)-ROW('⚡ COMMAND TRACKER'!$I$5)+1),48),ROW('⚡ COMMAND TRACKER'!$I$5:$I$204)-ROW('⚡ COMMAND TRACKER'!$I$5)+1,0),"")),"")</f>
        <v/>
      </c>
      <c r="H51" s="10" t="str">
        <f aca="false">IFERROR(INDEX('⚡ COMMAND TRACKER'!$M$5:$M$204,IFERROR(MATCH(SMALL(IF('⚡ COMMAND TRACKER'!$I$5:$I$204="Booked Meeting",ROW('⚡ COMMAND TRACKER'!$I$5:$I$204)-ROW('⚡ COMMAND TRACKER'!$I$5)+1),48),ROW('⚡ COMMAND TRACKER'!$I$5:$I$204)-ROW('⚡ COMMAND TRACKER'!$I$5)+1,0),"")),"")</f>
        <v/>
      </c>
      <c r="I51" s="14" t="str">
        <f aca="false">IFERROR(INDEX('⚡ COMMAND TRACKER'!$AC$5:$AC$204,IFERROR(MATCH(SMALL(IF('⚡ COMMAND TRACKER'!$I$5:$I$204="Booked Meeting",ROW('⚡ COMMAND TRACKER'!$I$5:$I$204)-ROW('⚡ COMMAND TRACKER'!$I$5)+1),48),ROW('⚡ COMMAND TRACKER'!$I$5:$I$204)-ROW('⚡ COMMAND TRACKER'!$I$5)+1,0),"")),"")</f>
        <v/>
      </c>
      <c r="J51" s="10" t="str">
        <f aca="false">IFERROR(INDEX('⚡ COMMAND TRACKER'!$AE$5:$AE$204,IFERROR(MATCH(SMALL(IF('⚡ COMMAND TRACKER'!$I$5:$I$204="Booked Meeting",ROW('⚡ COMMAND TRACKER'!$I$5:$I$204)-ROW('⚡ COMMAND TRACKER'!$I$5)+1),48),ROW('⚡ COMMAND TRACKER'!$I$5:$I$204)-ROW('⚡ COMMAND TRACKER'!$I$5)+1,0),"")),"")</f>
        <v/>
      </c>
    </row>
    <row r="52" customFormat="false" ht="19.5" hidden="false" customHeight="true" outlineLevel="0" collapsed="false">
      <c r="A52" s="17" t="str">
        <f aca="false">IFERROR(INDEX('⚡ COMMAND TRACKER'!$A$5:$A$204,IFERROR(MATCH(SMALL(IF('⚡ COMMAND TRACKER'!$I$5:$I$204="Booked Meeting",ROW('⚡ COMMAND TRACKER'!$I$5:$I$204)-ROW('⚡ COMMAND TRACKER'!$I$5)+1),49),ROW('⚡ COMMAND TRACKER'!$I$5:$I$204)-ROW('⚡ COMMAND TRACKER'!$I$5)+1,0),"")),"")</f>
        <v/>
      </c>
      <c r="B52" s="17" t="str">
        <f aca="false">IFERROR(INDEX('⚡ COMMAND TRACKER'!$E$5:$E$204,IFERROR(MATCH(SMALL(IF('⚡ COMMAND TRACKER'!$I$5:$I$204="Booked Meeting",ROW('⚡ COMMAND TRACKER'!$I$5:$I$204)-ROW('⚡ COMMAND TRACKER'!$I$5)+1),49),ROW('⚡ COMMAND TRACKER'!$I$5:$I$204)-ROW('⚡ COMMAND TRACKER'!$I$5)+1,0),"")),"")</f>
        <v/>
      </c>
      <c r="C52" s="27" t="str">
        <f aca="false">IFERROR(INDEX('⚡ COMMAND TRACKER'!$B$5:$B$204,IFERROR(MATCH(SMALL(IF('⚡ COMMAND TRACKER'!$I$5:$I$204="Booked Meeting",ROW('⚡ COMMAND TRACKER'!$I$5:$I$204)-ROW('⚡ COMMAND TRACKER'!$I$5)+1),49),ROW('⚡ COMMAND TRACKER'!$I$5:$I$204)-ROW('⚡ COMMAND TRACKER'!$I$5)+1,0),"")),"")</f>
        <v/>
      </c>
      <c r="D52" s="18" t="str">
        <f aca="false">IFERROR(INDEX('⚡ COMMAND TRACKER'!$H$5:$H$204,IFERROR(MATCH(SMALL(IF('⚡ COMMAND TRACKER'!$I$5:$I$204="Booked Meeting",ROW('⚡ COMMAND TRACKER'!$I$5:$I$204)-ROW('⚡ COMMAND TRACKER'!$I$5)+1),49),ROW('⚡ COMMAND TRACKER'!$I$5:$I$204)-ROW('⚡ COMMAND TRACKER'!$I$5)+1,0),"")),"")</f>
        <v/>
      </c>
      <c r="E52" s="18" t="str">
        <f aca="false">IFERROR(INDEX('⚡ COMMAND TRACKER'!$V$5:$V$204,IFERROR(MATCH(SMALL(IF('⚡ COMMAND TRACKER'!$I$5:$I$204="Booked Meeting",ROW('⚡ COMMAND TRACKER'!$I$5:$I$204)-ROW('⚡ COMMAND TRACKER'!$I$5)+1),49),ROW('⚡ COMMAND TRACKER'!$I$5:$I$204)-ROW('⚡ COMMAND TRACKER'!$I$5)+1,0),"")),"")</f>
        <v/>
      </c>
      <c r="F52" s="28" t="str">
        <f aca="false">IFERROR(INDEX('⚡ COMMAND TRACKER'!$Y$5:$Y$204,IFERROR(MATCH(SMALL(IF('⚡ COMMAND TRACKER'!$I$5:$I$204="Booked Meeting",ROW('⚡ COMMAND TRACKER'!$I$5:$I$204)-ROW('⚡ COMMAND TRACKER'!$I$5)+1),49),ROW('⚡ COMMAND TRACKER'!$I$5:$I$204)-ROW('⚡ COMMAND TRACKER'!$I$5)+1,0),"")),"")</f>
        <v/>
      </c>
      <c r="G52" s="18" t="str">
        <f aca="false">IFERROR(INDEX('⚡ COMMAND TRACKER'!$Z$5:$Z$204,IFERROR(MATCH(SMALL(IF('⚡ COMMAND TRACKER'!$I$5:$I$204="Booked Meeting",ROW('⚡ COMMAND TRACKER'!$I$5:$I$204)-ROW('⚡ COMMAND TRACKER'!$I$5)+1),49),ROW('⚡ COMMAND TRACKER'!$I$5:$I$204)-ROW('⚡ COMMAND TRACKER'!$I$5)+1,0),"")),"")</f>
        <v/>
      </c>
      <c r="H52" s="17" t="str">
        <f aca="false">IFERROR(INDEX('⚡ COMMAND TRACKER'!$M$5:$M$204,IFERROR(MATCH(SMALL(IF('⚡ COMMAND TRACKER'!$I$5:$I$204="Booked Meeting",ROW('⚡ COMMAND TRACKER'!$I$5:$I$204)-ROW('⚡ COMMAND TRACKER'!$I$5)+1),49),ROW('⚡ COMMAND TRACKER'!$I$5:$I$204)-ROW('⚡ COMMAND TRACKER'!$I$5)+1,0),"")),"")</f>
        <v/>
      </c>
      <c r="I52" s="21" t="str">
        <f aca="false">IFERROR(INDEX('⚡ COMMAND TRACKER'!$AC$5:$AC$204,IFERROR(MATCH(SMALL(IF('⚡ COMMAND TRACKER'!$I$5:$I$204="Booked Meeting",ROW('⚡ COMMAND TRACKER'!$I$5:$I$204)-ROW('⚡ COMMAND TRACKER'!$I$5)+1),49),ROW('⚡ COMMAND TRACKER'!$I$5:$I$204)-ROW('⚡ COMMAND TRACKER'!$I$5)+1,0),"")),"")</f>
        <v/>
      </c>
      <c r="J52" s="17" t="str">
        <f aca="false">IFERROR(INDEX('⚡ COMMAND TRACKER'!$AE$5:$AE$204,IFERROR(MATCH(SMALL(IF('⚡ COMMAND TRACKER'!$I$5:$I$204="Booked Meeting",ROW('⚡ COMMAND TRACKER'!$I$5:$I$204)-ROW('⚡ COMMAND TRACKER'!$I$5)+1),49),ROW('⚡ COMMAND TRACKER'!$I$5:$I$204)-ROW('⚡ COMMAND TRACKER'!$I$5)+1,0),"")),"")</f>
        <v/>
      </c>
    </row>
    <row r="53" customFormat="false" ht="19.5" hidden="false" customHeight="true" outlineLevel="0" collapsed="false">
      <c r="A53" s="10" t="str">
        <f aca="false">IFERROR(INDEX('⚡ COMMAND TRACKER'!$A$5:$A$204,IFERROR(MATCH(SMALL(IF('⚡ COMMAND TRACKER'!$I$5:$I$204="Booked Meeting",ROW('⚡ COMMAND TRACKER'!$I$5:$I$204)-ROW('⚡ COMMAND TRACKER'!$I$5)+1),50),ROW('⚡ COMMAND TRACKER'!$I$5:$I$204)-ROW('⚡ COMMAND TRACKER'!$I$5)+1,0),"")),"")</f>
        <v/>
      </c>
      <c r="B53" s="10" t="str">
        <f aca="false">IFERROR(INDEX('⚡ COMMAND TRACKER'!$E$5:$E$204,IFERROR(MATCH(SMALL(IF('⚡ COMMAND TRACKER'!$I$5:$I$204="Booked Meeting",ROW('⚡ COMMAND TRACKER'!$I$5:$I$204)-ROW('⚡ COMMAND TRACKER'!$I$5)+1),50),ROW('⚡ COMMAND TRACKER'!$I$5:$I$204)-ROW('⚡ COMMAND TRACKER'!$I$5)+1,0),"")),"")</f>
        <v/>
      </c>
      <c r="C53" s="30" t="str">
        <f aca="false">IFERROR(INDEX('⚡ COMMAND TRACKER'!$B$5:$B$204,IFERROR(MATCH(SMALL(IF('⚡ COMMAND TRACKER'!$I$5:$I$204="Booked Meeting",ROW('⚡ COMMAND TRACKER'!$I$5:$I$204)-ROW('⚡ COMMAND TRACKER'!$I$5)+1),50),ROW('⚡ COMMAND TRACKER'!$I$5:$I$204)-ROW('⚡ COMMAND TRACKER'!$I$5)+1,0),"")),"")</f>
        <v/>
      </c>
      <c r="D53" s="11" t="str">
        <f aca="false">IFERROR(INDEX('⚡ COMMAND TRACKER'!$H$5:$H$204,IFERROR(MATCH(SMALL(IF('⚡ COMMAND TRACKER'!$I$5:$I$204="Booked Meeting",ROW('⚡ COMMAND TRACKER'!$I$5:$I$204)-ROW('⚡ COMMAND TRACKER'!$I$5)+1),50),ROW('⚡ COMMAND TRACKER'!$I$5:$I$204)-ROW('⚡ COMMAND TRACKER'!$I$5)+1,0),"")),"")</f>
        <v/>
      </c>
      <c r="E53" s="11" t="str">
        <f aca="false">IFERROR(INDEX('⚡ COMMAND TRACKER'!$V$5:$V$204,IFERROR(MATCH(SMALL(IF('⚡ COMMAND TRACKER'!$I$5:$I$204="Booked Meeting",ROW('⚡ COMMAND TRACKER'!$I$5:$I$204)-ROW('⚡ COMMAND TRACKER'!$I$5)+1),50),ROW('⚡ COMMAND TRACKER'!$I$5:$I$204)-ROW('⚡ COMMAND TRACKER'!$I$5)+1,0),"")),"")</f>
        <v/>
      </c>
      <c r="F53" s="31" t="str">
        <f aca="false">IFERROR(INDEX('⚡ COMMAND TRACKER'!$Y$5:$Y$204,IFERROR(MATCH(SMALL(IF('⚡ COMMAND TRACKER'!$I$5:$I$204="Booked Meeting",ROW('⚡ COMMAND TRACKER'!$I$5:$I$204)-ROW('⚡ COMMAND TRACKER'!$I$5)+1),50),ROW('⚡ COMMAND TRACKER'!$I$5:$I$204)-ROW('⚡ COMMAND TRACKER'!$I$5)+1,0),"")),"")</f>
        <v/>
      </c>
      <c r="G53" s="11" t="str">
        <f aca="false">IFERROR(INDEX('⚡ COMMAND TRACKER'!$Z$5:$Z$204,IFERROR(MATCH(SMALL(IF('⚡ COMMAND TRACKER'!$I$5:$I$204="Booked Meeting",ROW('⚡ COMMAND TRACKER'!$I$5:$I$204)-ROW('⚡ COMMAND TRACKER'!$I$5)+1),50),ROW('⚡ COMMAND TRACKER'!$I$5:$I$204)-ROW('⚡ COMMAND TRACKER'!$I$5)+1,0),"")),"")</f>
        <v/>
      </c>
      <c r="H53" s="10" t="str">
        <f aca="false">IFERROR(INDEX('⚡ COMMAND TRACKER'!$M$5:$M$204,IFERROR(MATCH(SMALL(IF('⚡ COMMAND TRACKER'!$I$5:$I$204="Booked Meeting",ROW('⚡ COMMAND TRACKER'!$I$5:$I$204)-ROW('⚡ COMMAND TRACKER'!$I$5)+1),50),ROW('⚡ COMMAND TRACKER'!$I$5:$I$204)-ROW('⚡ COMMAND TRACKER'!$I$5)+1,0),"")),"")</f>
        <v/>
      </c>
      <c r="I53" s="14" t="str">
        <f aca="false">IFERROR(INDEX('⚡ COMMAND TRACKER'!$AC$5:$AC$204,IFERROR(MATCH(SMALL(IF('⚡ COMMAND TRACKER'!$I$5:$I$204="Booked Meeting",ROW('⚡ COMMAND TRACKER'!$I$5:$I$204)-ROW('⚡ COMMAND TRACKER'!$I$5)+1),50),ROW('⚡ COMMAND TRACKER'!$I$5:$I$204)-ROW('⚡ COMMAND TRACKER'!$I$5)+1,0),"")),"")</f>
        <v/>
      </c>
      <c r="J53" s="10" t="str">
        <f aca="false">IFERROR(INDEX('⚡ COMMAND TRACKER'!$AE$5:$AE$204,IFERROR(MATCH(SMALL(IF('⚡ COMMAND TRACKER'!$I$5:$I$204="Booked Meeting",ROW('⚡ COMMAND TRACKER'!$I$5:$I$204)-ROW('⚡ COMMAND TRACKER'!$I$5)+1),50),ROW('⚡ COMMAND TRACKER'!$I$5:$I$204)-ROW('⚡ COMMAND TRACKER'!$I$5)+1,0),"")),"")</f>
        <v/>
      </c>
    </row>
  </sheetData>
  <mergeCells count="1">
    <mergeCell ref="A1:J1"/>
  </mergeCells>
  <conditionalFormatting sqref="F4:F53">
    <cfRule type="colorScale" priority="2">
      <colorScale>
        <cfvo type="num" val="0"/>
        <cfvo type="num" val="50"/>
        <cfvo type="num" val="100"/>
        <color rgb="FFEF4444"/>
        <color rgb="FFF59E0B"/>
        <color rgb="FF21E68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568"/>
    <pageSetUpPr fitToPage="false"/>
  </sheetPr>
  <dimension ref="B1:B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3"/>
  </cols>
  <sheetData>
    <row r="1" customFormat="false" ht="39.75" hidden="false" customHeight="true" outlineLevel="0" collapsed="false">
      <c r="B1" s="59" t="s">
        <v>77</v>
      </c>
    </row>
    <row r="2" customFormat="false" ht="13.5" hidden="false" customHeight="true" outlineLevel="0" collapsed="false">
      <c r="B2" s="60"/>
    </row>
    <row r="3" customFormat="false" ht="24" hidden="false" customHeight="true" outlineLevel="0" collapsed="false">
      <c r="B3" s="61" t="s">
        <v>78</v>
      </c>
    </row>
    <row r="4" customFormat="false" ht="18" hidden="false" customHeight="true" outlineLevel="0" collapsed="false">
      <c r="B4" s="60"/>
    </row>
    <row r="5" customFormat="false" ht="19.5" hidden="false" customHeight="true" outlineLevel="0" collapsed="false">
      <c r="B5" s="62" t="s">
        <v>79</v>
      </c>
    </row>
    <row r="6" customFormat="false" ht="18" hidden="false" customHeight="true" outlineLevel="0" collapsed="false">
      <c r="B6" s="63" t="s">
        <v>80</v>
      </c>
    </row>
    <row r="7" customFormat="false" ht="18" hidden="false" customHeight="true" outlineLevel="0" collapsed="false">
      <c r="B7" s="63" t="s">
        <v>81</v>
      </c>
    </row>
    <row r="8" customFormat="false" ht="18" hidden="false" customHeight="true" outlineLevel="0" collapsed="false">
      <c r="B8" s="63" t="s">
        <v>82</v>
      </c>
    </row>
    <row r="9" customFormat="false" ht="18" hidden="false" customHeight="true" outlineLevel="0" collapsed="false">
      <c r="B9" s="63" t="s">
        <v>83</v>
      </c>
    </row>
    <row r="10" customFormat="false" ht="18" hidden="false" customHeight="true" outlineLevel="0" collapsed="false">
      <c r="B10" s="63" t="s">
        <v>84</v>
      </c>
    </row>
    <row r="11" customFormat="false" ht="13.5" hidden="false" customHeight="true" outlineLevel="0" collapsed="false">
      <c r="B11" s="60"/>
    </row>
    <row r="12" customFormat="false" ht="19.5" hidden="false" customHeight="true" outlineLevel="0" collapsed="false">
      <c r="B12" s="62" t="s">
        <v>85</v>
      </c>
    </row>
    <row r="13" customFormat="false" ht="18" hidden="false" customHeight="true" outlineLevel="0" collapsed="false">
      <c r="B13" s="63" t="s">
        <v>86</v>
      </c>
    </row>
    <row r="14" customFormat="false" ht="18" hidden="false" customHeight="true" outlineLevel="0" collapsed="false">
      <c r="B14" s="63" t="s">
        <v>87</v>
      </c>
    </row>
    <row r="15" customFormat="false" ht="13.5" hidden="false" customHeight="true" outlineLevel="0" collapsed="false">
      <c r="B15" s="60"/>
    </row>
    <row r="16" customFormat="false" ht="19.5" hidden="false" customHeight="true" outlineLevel="0" collapsed="false">
      <c r="B16" s="62" t="s">
        <v>88</v>
      </c>
    </row>
    <row r="17" customFormat="false" ht="18" hidden="false" customHeight="true" outlineLevel="0" collapsed="false">
      <c r="B17" s="63" t="s">
        <v>89</v>
      </c>
    </row>
    <row r="18" customFormat="false" ht="18" hidden="false" customHeight="true" outlineLevel="0" collapsed="false">
      <c r="B18" s="63" t="s">
        <v>90</v>
      </c>
    </row>
    <row r="19" customFormat="false" ht="18" hidden="false" customHeight="true" outlineLevel="0" collapsed="false">
      <c r="B19" s="63" t="s">
        <v>91</v>
      </c>
    </row>
    <row r="20" customFormat="false" ht="18" hidden="false" customHeight="true" outlineLevel="0" collapsed="false">
      <c r="B20" s="63" t="s">
        <v>92</v>
      </c>
    </row>
    <row r="21" customFormat="false" ht="13.5" hidden="false" customHeight="true" outlineLevel="0" collapsed="false">
      <c r="B21" s="60"/>
    </row>
    <row r="22" customFormat="false" ht="19.5" hidden="false" customHeight="true" outlineLevel="0" collapsed="false">
      <c r="B22" s="62" t="s">
        <v>93</v>
      </c>
    </row>
    <row r="23" customFormat="false" ht="18" hidden="false" customHeight="true" outlineLevel="0" collapsed="false">
      <c r="B23" s="63" t="s">
        <v>94</v>
      </c>
    </row>
    <row r="24" customFormat="false" ht="18" hidden="false" customHeight="true" outlineLevel="0" collapsed="false">
      <c r="B24" s="63" t="s">
        <v>95</v>
      </c>
    </row>
    <row r="25" customFormat="false" ht="18" hidden="false" customHeight="true" outlineLevel="0" collapsed="false">
      <c r="B25" s="63" t="s">
        <v>96</v>
      </c>
    </row>
    <row r="26" customFormat="false" ht="13.5" hidden="false" customHeight="true" outlineLevel="0" collapsed="false">
      <c r="B26" s="60"/>
    </row>
    <row r="27" customFormat="false" ht="19.5" hidden="false" customHeight="true" outlineLevel="0" collapsed="false">
      <c r="B27" s="62" t="s">
        <v>97</v>
      </c>
    </row>
    <row r="28" customFormat="false" ht="18" hidden="false" customHeight="true" outlineLevel="0" collapsed="false">
      <c r="B28" s="63" t="s">
        <v>98</v>
      </c>
    </row>
    <row r="29" customFormat="false" ht="18" hidden="false" customHeight="true" outlineLevel="0" collapsed="false">
      <c r="B29" s="63" t="s">
        <v>99</v>
      </c>
    </row>
    <row r="30" customFormat="false" ht="13.5" hidden="false" customHeight="true" outlineLevel="0" collapsed="false">
      <c r="B30" s="60"/>
    </row>
    <row r="31" customFormat="false" ht="19.5" hidden="false" customHeight="true" outlineLevel="0" collapsed="false">
      <c r="B31" s="64" t="s">
        <v>100</v>
      </c>
    </row>
    <row r="32" customFormat="false" ht="18" hidden="false" customHeight="true" outlineLevel="0" collapsed="false">
      <c r="B32" s="63" t="s">
        <v>101</v>
      </c>
    </row>
    <row r="33" customFormat="false" ht="18" hidden="false" customHeight="true" outlineLevel="0" collapsed="false">
      <c r="B33" s="63" t="s">
        <v>102</v>
      </c>
    </row>
    <row r="34" customFormat="false" ht="18" hidden="false" customHeight="true" outlineLevel="0" collapsed="false">
      <c r="B34" s="63" t="s">
        <v>103</v>
      </c>
    </row>
    <row r="35" customFormat="false" ht="18" hidden="false" customHeight="true" outlineLevel="0" collapsed="false">
      <c r="B35" s="63" t="s">
        <v>104</v>
      </c>
    </row>
    <row r="36" customFormat="false" ht="18" hidden="false" customHeight="true" outlineLevel="0" collapsed="false">
      <c r="B36" s="63" t="s">
        <v>105</v>
      </c>
    </row>
    <row r="37" customFormat="false" ht="18" hidden="false" customHeight="true" outlineLevel="0" collapsed="false">
      <c r="B37" s="65" t="s">
        <v>106</v>
      </c>
    </row>
    <row r="38" customFormat="false" ht="13.5" hidden="false" customHeight="true" outlineLevel="0" collapsed="false">
      <c r="B38" s="60"/>
    </row>
    <row r="39" customFormat="false" ht="19.5" hidden="false" customHeight="true" outlineLevel="0" collapsed="false">
      <c r="B39" s="64" t="s">
        <v>107</v>
      </c>
    </row>
    <row r="40" customFormat="false" ht="18" hidden="false" customHeight="true" outlineLevel="0" collapsed="false">
      <c r="B40" s="63" t="s">
        <v>108</v>
      </c>
    </row>
    <row r="41" customFormat="false" ht="18" hidden="false" customHeight="true" outlineLevel="0" collapsed="false">
      <c r="B41" s="63" t="s">
        <v>109</v>
      </c>
    </row>
    <row r="42" customFormat="false" ht="18" hidden="false" customHeight="true" outlineLevel="0" collapsed="false">
      <c r="B42" s="63" t="s">
        <v>110</v>
      </c>
    </row>
    <row r="43" customFormat="false" ht="18" hidden="false" customHeight="true" outlineLevel="0" collapsed="false">
      <c r="B43" s="63" t="s">
        <v>111</v>
      </c>
    </row>
    <row r="44" customFormat="false" ht="18" hidden="false" customHeight="true" outlineLevel="0" collapsed="false">
      <c r="B44" s="63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2026-04-15T19:55:12Z</dcterms:created>
  <dc:creator>openpyxl</dc:creator>
  <dc:description/>
  <dc:language>en-US</dc:language>
  <cp:lastModifiedBy/>
  <dcterms:modified xsi:type="dcterms:W3CDTF">2026-04-15T19:55:13Z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